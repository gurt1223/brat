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t1\OneDrive - Virginia Tech\Documents\MATLAB\brat\13-patty-fixedwing\hardware_setup\MOI\"/>
    </mc:Choice>
  </mc:AlternateContent>
  <xr:revisionPtr revIDLastSave="0" documentId="13_ncr:1_{C71460BF-36B5-4233-A062-1B5AEF983B3D}" xr6:coauthVersionLast="47" xr6:coauthVersionMax="47" xr10:uidLastSave="{00000000-0000-0000-0000-000000000000}"/>
  <bookViews>
    <workbookView xWindow="-108" yWindow="-108" windowWidth="23256" windowHeight="13896" xr2:uid="{68235AB3-CECB-4865-B785-2E040A78002D}"/>
  </bookViews>
  <sheets>
    <sheet name="12June2025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2" i="6" l="1"/>
  <c r="B123" i="6" s="1"/>
  <c r="B141" i="6"/>
  <c r="C141" i="6" s="1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16" i="6"/>
  <c r="C115" i="6"/>
  <c r="C114" i="6"/>
  <c r="C112" i="6"/>
  <c r="C111" i="6"/>
  <c r="C113" i="6"/>
  <c r="C110" i="6"/>
  <c r="C109" i="6"/>
  <c r="C108" i="6"/>
  <c r="C107" i="6"/>
  <c r="C106" i="6"/>
  <c r="C105" i="6"/>
  <c r="C104" i="6"/>
  <c r="C103" i="6"/>
  <c r="H16" i="6"/>
  <c r="B32" i="6"/>
  <c r="C26" i="6"/>
  <c r="C25" i="6"/>
  <c r="C30" i="6"/>
  <c r="C29" i="6"/>
  <c r="C28" i="6"/>
  <c r="C27" i="6"/>
  <c r="C24" i="6"/>
  <c r="C23" i="6"/>
  <c r="K79" i="6"/>
  <c r="C92" i="6"/>
  <c r="C91" i="6"/>
  <c r="B95" i="6"/>
  <c r="C66" i="6"/>
  <c r="C65" i="6"/>
  <c r="C64" i="6"/>
  <c r="C87" i="6"/>
  <c r="C86" i="6"/>
  <c r="C85" i="6"/>
  <c r="B52" i="6"/>
  <c r="C50" i="6"/>
  <c r="C49" i="6"/>
  <c r="C48" i="6"/>
  <c r="C47" i="6"/>
  <c r="C46" i="6"/>
  <c r="C44" i="6"/>
  <c r="C43" i="6"/>
  <c r="G57" i="6"/>
  <c r="H57" i="6" s="1"/>
  <c r="B73" i="6"/>
  <c r="E122" i="6" l="1"/>
  <c r="E125" i="6" s="1"/>
  <c r="C93" i="6"/>
  <c r="C90" i="6"/>
  <c r="C89" i="6"/>
  <c r="C88" i="6"/>
  <c r="C84" i="6"/>
  <c r="C83" i="6"/>
  <c r="C82" i="6"/>
  <c r="C32" i="6"/>
  <c r="C22" i="6"/>
  <c r="C21" i="6"/>
  <c r="C20" i="6"/>
  <c r="C19" i="6"/>
  <c r="C73" i="6"/>
  <c r="C71" i="6"/>
  <c r="C70" i="6"/>
  <c r="C68" i="6"/>
  <c r="C63" i="6"/>
  <c r="C62" i="6"/>
  <c r="C61" i="6"/>
  <c r="C60" i="6"/>
  <c r="C42" i="6"/>
  <c r="C41" i="6"/>
  <c r="C45" i="6" s="1"/>
  <c r="C40" i="6"/>
  <c r="C52" i="6"/>
  <c r="I98" i="6"/>
  <c r="E2" i="6"/>
  <c r="C69" i="6"/>
  <c r="B118" i="6"/>
  <c r="C118" i="6" s="1"/>
  <c r="B100" i="6"/>
  <c r="B15" i="6"/>
  <c r="B9" i="6"/>
  <c r="B10" i="6" s="1"/>
  <c r="E8" i="6"/>
  <c r="E7" i="6"/>
  <c r="C95" i="6" l="1"/>
  <c r="E9" i="6"/>
  <c r="E10" i="6" s="1"/>
  <c r="E99" i="6"/>
  <c r="E102" i="6" s="1"/>
  <c r="E15" i="6" l="1"/>
  <c r="B5" i="6" s="1"/>
  <c r="E5" i="6" s="1"/>
  <c r="E19" i="6"/>
  <c r="E82" i="6"/>
  <c r="E36" i="6"/>
  <c r="B3" i="6" s="1"/>
  <c r="E3" i="6" s="1"/>
  <c r="E60" i="6"/>
  <c r="E77" i="6"/>
  <c r="E30" i="6"/>
  <c r="E50" i="6"/>
  <c r="E71" i="6"/>
  <c r="E93" i="6"/>
  <c r="E40" i="6"/>
  <c r="E70" i="6"/>
  <c r="E56" i="6"/>
  <c r="B4" i="6" s="1"/>
  <c r="E4" i="6" s="1"/>
  <c r="H77" i="6" l="1"/>
  <c r="B6" i="6" s="1"/>
  <c r="E6" i="6" s="1"/>
</calcChain>
</file>

<file path=xl/sharedStrings.xml><?xml version="1.0" encoding="utf-8"?>
<sst xmlns="http://schemas.openxmlformats.org/spreadsheetml/2006/main" count="137" uniqueCount="51">
  <si>
    <t>Notes:</t>
  </si>
  <si>
    <t>Update these cells</t>
  </si>
  <si>
    <t>Mass (kg)</t>
  </si>
  <si>
    <t>kg</t>
  </si>
  <si>
    <t>lbs</t>
  </si>
  <si>
    <t>Ixx</t>
  </si>
  <si>
    <t xml:space="preserve"> kg*m^2</t>
  </si>
  <si>
    <t>slug*ft^2</t>
  </si>
  <si>
    <t>g (m/s^2)</t>
  </si>
  <si>
    <t>Iyy</t>
  </si>
  <si>
    <t>Izz</t>
  </si>
  <si>
    <t>Ixz</t>
  </si>
  <si>
    <t>Wing span</t>
  </si>
  <si>
    <t>m</t>
  </si>
  <si>
    <t>ft</t>
  </si>
  <si>
    <t>Wing chord</t>
  </si>
  <si>
    <t>in</t>
  </si>
  <si>
    <t>Wing area</t>
  </si>
  <si>
    <t>m^2</t>
  </si>
  <si>
    <t>ft^2</t>
  </si>
  <si>
    <t>Wing loading</t>
  </si>
  <si>
    <t>kg/m^2</t>
  </si>
  <si>
    <t>lbs/ft^2</t>
  </si>
  <si>
    <t>Yaw Axis - Izz</t>
  </si>
  <si>
    <t>Dist: CG to cradle CG</t>
  </si>
  <si>
    <t>MOI about axis</t>
  </si>
  <si>
    <t>kg*m^2</t>
  </si>
  <si>
    <t>Dist: CG to pivot axis (L2)</t>
  </si>
  <si>
    <t>Num Periods</t>
  </si>
  <si>
    <t>20x Period (s)</t>
  </si>
  <si>
    <t>Period (s)</t>
  </si>
  <si>
    <t>Individual trials</t>
  </si>
  <si>
    <t>Pixhawk Log Name:</t>
  </si>
  <si>
    <t>Pixhawk Log Name (round 2):</t>
  </si>
  <si>
    <t>Ave</t>
  </si>
  <si>
    <t>Roll Axis - Ixx</t>
  </si>
  <si>
    <t>Pitch Axis - Iyy</t>
  </si>
  <si>
    <t>Intermediate axis and Product of Inertia - Ixz</t>
  </si>
  <si>
    <t>X axis angle above horizon</t>
  </si>
  <si>
    <t>deg</t>
  </si>
  <si>
    <t>MOI about intermediate axis</t>
  </si>
  <si>
    <t>PoI about Ixz</t>
  </si>
  <si>
    <t>Mass:</t>
  </si>
  <si>
    <t>Inertia about pivot axis (I1)</t>
  </si>
  <si>
    <t>Dist: Pivot axis to cradle CG</t>
  </si>
  <si>
    <t>Inertia of bare pendulum</t>
  </si>
  <si>
    <t>CZ-150-6</t>
  </si>
  <si>
    <t xml:space="preserve">1 6s 5000 maH </t>
  </si>
  <si>
    <t>Periods</t>
  </si>
  <si>
    <t>Raw Pendulum - Cradle for all but Iyy</t>
  </si>
  <si>
    <t>Raw Pendulum - Cradle for  Iyy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</si>
</sst>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Font="0" applyAlignment="0" applyProtection="0"/>
  </cellStyleXfs>
  <cellXfs count="28">
    <xf numFmtId="0" fontId="0" fillId="0" borderId="0" xfId="0"/>
    <xf numFmtId="0" fontId="3" fillId="0" borderId="0" xfId="0" applyFont="1"/>
    <xf numFmtId="0" fontId="0" fillId="3" borderId="1" xfId="2" applyFon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1" xfId="2" applyFont="1" applyFill="1"/>
    <xf numFmtId="166" fontId="0" fillId="0" borderId="1" xfId="2" applyNumberFormat="1" applyFont="1" applyFill="1"/>
    <xf numFmtId="165" fontId="1" fillId="2" borderId="0" xfId="1" applyNumberFormat="1"/>
    <xf numFmtId="0" fontId="4" fillId="0" borderId="0" xfId="0" applyFont="1"/>
    <xf numFmtId="2" fontId="0" fillId="4" borderId="0" xfId="0" applyNumberFormat="1" applyFill="1"/>
    <xf numFmtId="0" fontId="0" fillId="4" borderId="0" xfId="0" applyFill="1"/>
    <xf numFmtId="165" fontId="6" fillId="0" borderId="0" xfId="1" applyNumberFormat="1" applyFont="1" applyFill="1"/>
    <xf numFmtId="0" fontId="0" fillId="0" borderId="5" xfId="0" applyBorder="1"/>
    <xf numFmtId="0" fontId="0" fillId="4" borderId="5" xfId="0" applyFill="1" applyBorder="1"/>
    <xf numFmtId="2" fontId="0" fillId="5" borderId="5" xfId="0" applyNumberFormat="1" applyFill="1" applyBorder="1"/>
    <xf numFmtId="166" fontId="0" fillId="0" borderId="5" xfId="0" applyNumberFormat="1" applyBorder="1"/>
    <xf numFmtId="166" fontId="0" fillId="5" borderId="5" xfId="0" applyNumberFormat="1" applyFill="1" applyBorder="1"/>
    <xf numFmtId="2" fontId="0" fillId="0" borderId="5" xfId="0" applyNumberFormat="1" applyBorder="1"/>
    <xf numFmtId="166" fontId="0" fillId="6" borderId="0" xfId="0" applyNumberFormat="1" applyFill="1"/>
    <xf numFmtId="0" fontId="0" fillId="6" borderId="0" xfId="0" applyFill="1"/>
    <xf numFmtId="0" fontId="0" fillId="7" borderId="0" xfId="0" applyFill="1"/>
    <xf numFmtId="166" fontId="0" fillId="7" borderId="1" xfId="2" applyNumberFormat="1" applyFont="1" applyFill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7" borderId="0" xfId="0" applyFont="1" applyFill="1"/>
    <xf numFmtId="0" fontId="0" fillId="7" borderId="0" xfId="0" applyFill="1" applyAlignment="1">
      <alignment horizontal="left" indent="1"/>
    </xf>
  </cellXfs>
  <cellStyles count="3">
    <cellStyle name="Good" xfId="1" builtinId="2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2B2B-8556-F344-AE45-011FCE05B34C}">
  <dimension ref="A1:N141"/>
  <sheetViews>
    <sheetView tabSelected="1" topLeftCell="A105" zoomScale="110" zoomScaleNormal="110" workbookViewId="0">
      <selection activeCell="L133" sqref="L133"/>
    </sheetView>
  </sheetViews>
  <sheetFormatPr defaultColWidth="8.6640625" defaultRowHeight="14.4" x14ac:dyDescent="0.3"/>
  <cols>
    <col min="1" max="1" width="24.6640625" customWidth="1"/>
    <col min="2" max="2" width="12.33203125" customWidth="1"/>
    <col min="3" max="3" width="10.44140625" customWidth="1"/>
    <col min="13" max="13" width="14.33203125" bestFit="1" customWidth="1"/>
    <col min="14" max="14" width="10.6640625" bestFit="1" customWidth="1"/>
  </cols>
  <sheetData>
    <row r="1" spans="1:12" ht="18.600000000000001" thickBot="1" x14ac:dyDescent="0.4">
      <c r="A1" s="26" t="s">
        <v>46</v>
      </c>
      <c r="B1" s="27" t="s">
        <v>0</v>
      </c>
      <c r="C1" s="21" t="s">
        <v>47</v>
      </c>
      <c r="D1" s="21"/>
      <c r="E1" s="21"/>
      <c r="F1" s="21"/>
      <c r="K1" s="23" t="s">
        <v>1</v>
      </c>
      <c r="L1" s="24"/>
    </row>
    <row r="2" spans="1:12" x14ac:dyDescent="0.3">
      <c r="A2" s="13" t="s">
        <v>2</v>
      </c>
      <c r="B2" s="14">
        <v>4.4452100000000003</v>
      </c>
      <c r="C2" s="13" t="s">
        <v>3</v>
      </c>
      <c r="D2" s="13"/>
      <c r="E2" s="15">
        <f>B2*2.20462</f>
        <v>9.7999988701999996</v>
      </c>
      <c r="F2" s="13" t="s">
        <v>4</v>
      </c>
    </row>
    <row r="3" spans="1:12" x14ac:dyDescent="0.3">
      <c r="A3" s="13" t="s">
        <v>5</v>
      </c>
      <c r="B3" s="16">
        <f>E36</f>
        <v>1.3708838244044506</v>
      </c>
      <c r="C3" s="13" t="s">
        <v>6</v>
      </c>
      <c r="D3" s="13"/>
      <c r="E3" s="17">
        <f>B3*0.737562149</f>
        <v>1.0111120195570851</v>
      </c>
      <c r="F3" s="13" t="s">
        <v>7</v>
      </c>
      <c r="K3">
        <v>9.8070000000000004</v>
      </c>
      <c r="L3" t="s">
        <v>8</v>
      </c>
    </row>
    <row r="4" spans="1:12" x14ac:dyDescent="0.3">
      <c r="A4" s="13" t="s">
        <v>9</v>
      </c>
      <c r="B4" s="16">
        <f>E56</f>
        <v>0.91810352140432716</v>
      </c>
      <c r="C4" s="13" t="s">
        <v>6</v>
      </c>
      <c r="D4" s="13"/>
      <c r="E4" s="17">
        <f t="shared" ref="E4:E6" si="0">B4*0.737562149</f>
        <v>0.67715840625144297</v>
      </c>
      <c r="F4" s="13" t="s">
        <v>7</v>
      </c>
    </row>
    <row r="5" spans="1:12" x14ac:dyDescent="0.3">
      <c r="A5" s="13" t="s">
        <v>10</v>
      </c>
      <c r="B5" s="16">
        <f>E15</f>
        <v>0.54521608839061209</v>
      </c>
      <c r="C5" s="13" t="s">
        <v>6</v>
      </c>
      <c r="D5" s="13"/>
      <c r="E5" s="17">
        <f t="shared" si="0"/>
        <v>0.40213074982275376</v>
      </c>
      <c r="F5" s="13" t="s">
        <v>7</v>
      </c>
      <c r="J5">
        <v>9.8000000000000007</v>
      </c>
    </row>
    <row r="6" spans="1:12" x14ac:dyDescent="0.3">
      <c r="A6" s="13" t="s">
        <v>11</v>
      </c>
      <c r="B6" s="16">
        <f>H77</f>
        <v>0.64852976964323483</v>
      </c>
      <c r="C6" s="13" t="s">
        <v>6</v>
      </c>
      <c r="D6" s="13"/>
      <c r="E6" s="17">
        <f t="shared" si="0"/>
        <v>0.47833101058853922</v>
      </c>
      <c r="F6" s="13" t="s">
        <v>7</v>
      </c>
      <c r="I6" s="3"/>
    </row>
    <row r="7" spans="1:12" x14ac:dyDescent="0.3">
      <c r="A7" s="13" t="s">
        <v>12</v>
      </c>
      <c r="B7" s="14">
        <v>2.1259800000000002</v>
      </c>
      <c r="C7" s="13" t="s">
        <v>13</v>
      </c>
      <c r="D7" s="13"/>
      <c r="E7" s="18">
        <f>B7*3.28084</f>
        <v>6.9750002232000003</v>
      </c>
      <c r="F7" s="13" t="s">
        <v>14</v>
      </c>
      <c r="I7" s="3"/>
    </row>
    <row r="8" spans="1:12" x14ac:dyDescent="0.3">
      <c r="A8" s="13" t="s">
        <v>15</v>
      </c>
      <c r="B8" s="14"/>
      <c r="C8" s="13" t="s">
        <v>13</v>
      </c>
      <c r="D8" s="13"/>
      <c r="E8" s="16">
        <f>B8*3.28084*12</f>
        <v>0</v>
      </c>
      <c r="F8" s="13" t="s">
        <v>16</v>
      </c>
    </row>
    <row r="9" spans="1:12" x14ac:dyDescent="0.3">
      <c r="A9" s="13" t="s">
        <v>17</v>
      </c>
      <c r="B9" s="16">
        <f>B7*B8</f>
        <v>0</v>
      </c>
      <c r="C9" s="13" t="s">
        <v>18</v>
      </c>
      <c r="D9" s="13"/>
      <c r="E9" s="18">
        <f>B9*3.28084^2</f>
        <v>0</v>
      </c>
      <c r="F9" s="13" t="s">
        <v>19</v>
      </c>
    </row>
    <row r="10" spans="1:12" x14ac:dyDescent="0.3">
      <c r="A10" s="13" t="s">
        <v>20</v>
      </c>
      <c r="B10" s="18" t="e">
        <f>B2/B9</f>
        <v>#DIV/0!</v>
      </c>
      <c r="C10" s="13" t="s">
        <v>21</v>
      </c>
      <c r="D10" s="13"/>
      <c r="E10" s="18" t="e">
        <f>E2/E9</f>
        <v>#DIV/0!</v>
      </c>
      <c r="F10" s="13" t="s">
        <v>22</v>
      </c>
    </row>
    <row r="11" spans="1:12" x14ac:dyDescent="0.3">
      <c r="B11" s="5"/>
    </row>
    <row r="13" spans="1:12" s="2" customFormat="1" x14ac:dyDescent="0.3">
      <c r="A13" s="2" t="s">
        <v>23</v>
      </c>
    </row>
    <row r="14" spans="1:12" x14ac:dyDescent="0.3">
      <c r="A14" t="s">
        <v>24</v>
      </c>
      <c r="B14" s="21">
        <v>1</v>
      </c>
      <c r="C14" t="s">
        <v>16</v>
      </c>
      <c r="E14" t="s">
        <v>25</v>
      </c>
    </row>
    <row r="15" spans="1:12" x14ac:dyDescent="0.3">
      <c r="A15" t="s">
        <v>24</v>
      </c>
      <c r="B15" s="22">
        <f>B14*0.0254</f>
        <v>2.5399999999999999E-2</v>
      </c>
      <c r="C15" t="s">
        <v>13</v>
      </c>
      <c r="E15" s="8">
        <f>$K$3*($B$98*$B$100+$B$2*B16)/(2*PI()/C32)^2-$E$99-$B$2*B16^2</f>
        <v>0.54521608839061209</v>
      </c>
      <c r="F15" t="s">
        <v>26</v>
      </c>
    </row>
    <row r="16" spans="1:12" x14ac:dyDescent="0.3">
      <c r="A16" t="s">
        <v>27</v>
      </c>
      <c r="B16" s="5">
        <v>1.3811249999999999</v>
      </c>
      <c r="C16" t="s">
        <v>13</v>
      </c>
      <c r="H16">
        <f>57-I57</f>
        <v>54.375</v>
      </c>
    </row>
    <row r="17" spans="1:12" x14ac:dyDescent="0.3">
      <c r="B17" t="s">
        <v>28</v>
      </c>
      <c r="C17">
        <v>20</v>
      </c>
      <c r="H17">
        <v>1</v>
      </c>
    </row>
    <row r="18" spans="1:12" x14ac:dyDescent="0.3">
      <c r="B18" s="1" t="s">
        <v>29</v>
      </c>
      <c r="C18" s="1" t="s">
        <v>30</v>
      </c>
      <c r="E18" t="s">
        <v>31</v>
      </c>
    </row>
    <row r="19" spans="1:12" x14ac:dyDescent="0.3">
      <c r="B19" s="10">
        <v>48.72</v>
      </c>
      <c r="C19">
        <f>B19/C17</f>
        <v>2.4359999999999999</v>
      </c>
      <c r="E19">
        <f>$K$3*($B$98*$B$100+$B$2*$B$16)/(2*PI()/C19)^2-$E$99-$B$2*$B$16^2</f>
        <v>0.57089445823573648</v>
      </c>
      <c r="F19" t="s">
        <v>26</v>
      </c>
    </row>
    <row r="20" spans="1:12" x14ac:dyDescent="0.3">
      <c r="B20" s="10">
        <v>48.65</v>
      </c>
      <c r="C20">
        <f>B20/C17</f>
        <v>2.4325000000000001</v>
      </c>
      <c r="H20" s="20" t="s">
        <v>32</v>
      </c>
      <c r="I20" s="20"/>
      <c r="J20" s="20"/>
      <c r="K20" s="20"/>
    </row>
    <row r="21" spans="1:12" x14ac:dyDescent="0.3">
      <c r="B21" s="10">
        <v>48.54</v>
      </c>
      <c r="C21">
        <f>B21/C17</f>
        <v>2.427</v>
      </c>
      <c r="H21" s="20" t="s">
        <v>33</v>
      </c>
      <c r="I21" s="20"/>
      <c r="J21" s="20"/>
      <c r="K21" s="20"/>
      <c r="L21" s="20"/>
    </row>
    <row r="22" spans="1:12" x14ac:dyDescent="0.3">
      <c r="B22" s="10">
        <v>48.67</v>
      </c>
      <c r="C22">
        <f>B22/C17</f>
        <v>2.4335</v>
      </c>
    </row>
    <row r="23" spans="1:12" x14ac:dyDescent="0.3">
      <c r="B23" s="10">
        <v>48.84</v>
      </c>
      <c r="C23">
        <f>B23/C17</f>
        <v>2.4420000000000002</v>
      </c>
    </row>
    <row r="24" spans="1:12" x14ac:dyDescent="0.3">
      <c r="B24" s="10">
        <v>48.71</v>
      </c>
      <c r="C24">
        <f>B24/C17</f>
        <v>2.4355000000000002</v>
      </c>
    </row>
    <row r="25" spans="1:12" x14ac:dyDescent="0.3">
      <c r="B25" s="10">
        <v>48.66</v>
      </c>
      <c r="C25">
        <f>B25/C17</f>
        <v>2.4329999999999998</v>
      </c>
    </row>
    <row r="26" spans="1:12" x14ac:dyDescent="0.3">
      <c r="B26" s="10">
        <v>48.55</v>
      </c>
      <c r="C26">
        <f>B26/C17</f>
        <v>2.4274999999999998</v>
      </c>
    </row>
    <row r="27" spans="1:12" x14ac:dyDescent="0.3">
      <c r="B27" s="10">
        <v>48.52</v>
      </c>
      <c r="C27">
        <f>B27/C17</f>
        <v>2.4260000000000002</v>
      </c>
    </row>
    <row r="28" spans="1:12" x14ac:dyDescent="0.3">
      <c r="B28" s="10">
        <v>48.54</v>
      </c>
      <c r="C28">
        <f>B28/C17</f>
        <v>2.427</v>
      </c>
    </row>
    <row r="29" spans="1:12" x14ac:dyDescent="0.3">
      <c r="B29" s="10">
        <v>48.86</v>
      </c>
      <c r="C29" s="3">
        <f>B29/C17</f>
        <v>2.4430000000000001</v>
      </c>
    </row>
    <row r="30" spans="1:12" x14ac:dyDescent="0.3">
      <c r="B30" s="10">
        <v>48.55</v>
      </c>
      <c r="C30">
        <f>B30/C17</f>
        <v>2.4274999999999998</v>
      </c>
      <c r="E30">
        <f>$K$3*($B$98*$B$100+$B$2*$B$16)/(2*PI()/C30)^2-$E$99-$B$2*$B$16^2</f>
        <v>0.50784671384698044</v>
      </c>
      <c r="F30" t="s">
        <v>26</v>
      </c>
      <c r="H30" s="3"/>
    </row>
    <row r="32" spans="1:12" x14ac:dyDescent="0.3">
      <c r="A32" t="s">
        <v>34</v>
      </c>
      <c r="B32" s="3">
        <f>AVERAGE(B19:B30)</f>
        <v>48.650833333333331</v>
      </c>
      <c r="C32">
        <f>B32/C17</f>
        <v>2.4325416666666664</v>
      </c>
    </row>
    <row r="34" spans="1:12" s="2" customFormat="1" x14ac:dyDescent="0.3">
      <c r="A34" s="2" t="s">
        <v>35</v>
      </c>
    </row>
    <row r="35" spans="1:12" s="6" customFormat="1" x14ac:dyDescent="0.3">
      <c r="A35" t="s">
        <v>24</v>
      </c>
      <c r="B35" s="21">
        <v>0</v>
      </c>
      <c r="C35" t="s">
        <v>16</v>
      </c>
      <c r="E35" t="s">
        <v>25</v>
      </c>
    </row>
    <row r="36" spans="1:12" s="6" customFormat="1" x14ac:dyDescent="0.3">
      <c r="A36" t="s">
        <v>24</v>
      </c>
      <c r="B36" s="22">
        <v>1.4700249999999999</v>
      </c>
      <c r="C36" t="s">
        <v>13</v>
      </c>
      <c r="E36" s="8">
        <f>$K$3*($B$98*$B$100+$B$2*B37)/(2*PI()/C52)^2-$E$99-$B$2*B37^2</f>
        <v>1.3708838244044506</v>
      </c>
      <c r="F36" t="s">
        <v>26</v>
      </c>
    </row>
    <row r="37" spans="1:12" s="6" customFormat="1" x14ac:dyDescent="0.3">
      <c r="A37" t="s">
        <v>27</v>
      </c>
      <c r="B37" s="19">
        <v>1.330325</v>
      </c>
      <c r="C37" t="s">
        <v>13</v>
      </c>
    </row>
    <row r="38" spans="1:12" x14ac:dyDescent="0.3">
      <c r="B38" t="s">
        <v>28</v>
      </c>
      <c r="C38">
        <v>20</v>
      </c>
    </row>
    <row r="39" spans="1:12" x14ac:dyDescent="0.3">
      <c r="B39" s="1" t="s">
        <v>29</v>
      </c>
      <c r="C39" s="1" t="s">
        <v>30</v>
      </c>
      <c r="E39" t="s">
        <v>31</v>
      </c>
    </row>
    <row r="40" spans="1:12" x14ac:dyDescent="0.3">
      <c r="B40" s="10">
        <v>50.24</v>
      </c>
      <c r="C40">
        <f>B40/C38</f>
        <v>2.512</v>
      </c>
      <c r="E40">
        <f>$K$3*($B$98*$B$100+$B$2*$B$37)/(2*PI()/C40)^2-$E$99-$B$2*$B$37^2</f>
        <v>1.4027260626743017</v>
      </c>
      <c r="F40" t="s">
        <v>26</v>
      </c>
    </row>
    <row r="41" spans="1:12" x14ac:dyDescent="0.3">
      <c r="B41" s="10">
        <v>50.23</v>
      </c>
      <c r="C41">
        <f>B41/C38</f>
        <v>2.5114999999999998</v>
      </c>
      <c r="H41" s="20"/>
      <c r="I41" s="20"/>
      <c r="J41" s="20"/>
      <c r="K41" s="20"/>
    </row>
    <row r="42" spans="1:12" x14ac:dyDescent="0.3">
      <c r="B42" s="10">
        <v>50.42</v>
      </c>
      <c r="C42">
        <f>B42/C38</f>
        <v>2.5209999999999999</v>
      </c>
      <c r="H42" s="20"/>
      <c r="I42" s="20"/>
      <c r="J42" s="20"/>
      <c r="K42" s="20"/>
      <c r="L42" s="20"/>
    </row>
    <row r="43" spans="1:12" x14ac:dyDescent="0.3">
      <c r="B43" s="10">
        <v>50.16</v>
      </c>
      <c r="C43">
        <f>B43/C38</f>
        <v>2.508</v>
      </c>
      <c r="H43" s="20"/>
      <c r="I43" s="20"/>
      <c r="J43" s="20"/>
      <c r="K43" s="20"/>
      <c r="L43" s="20"/>
    </row>
    <row r="44" spans="1:12" x14ac:dyDescent="0.3">
      <c r="B44" s="10">
        <v>50.12</v>
      </c>
      <c r="C44">
        <f>B44/C38</f>
        <v>2.5059999999999998</v>
      </c>
      <c r="H44" s="20"/>
      <c r="I44" s="20"/>
      <c r="J44" s="20"/>
      <c r="K44" s="20"/>
      <c r="L44" s="20"/>
    </row>
    <row r="45" spans="1:12" x14ac:dyDescent="0.3">
      <c r="B45" s="10">
        <v>50.07</v>
      </c>
      <c r="C45">
        <f t="shared" ref="C45" si="1">B45/C41</f>
        <v>19.93629305196098</v>
      </c>
    </row>
    <row r="46" spans="1:12" x14ac:dyDescent="0.3">
      <c r="B46" s="10">
        <v>50.09</v>
      </c>
      <c r="C46">
        <f>B46/C38</f>
        <v>2.5045000000000002</v>
      </c>
    </row>
    <row r="47" spans="1:12" x14ac:dyDescent="0.3">
      <c r="B47" s="10">
        <v>50.09</v>
      </c>
      <c r="C47">
        <f>B47/C38</f>
        <v>2.5045000000000002</v>
      </c>
    </row>
    <row r="48" spans="1:12" x14ac:dyDescent="0.3">
      <c r="B48" s="10">
        <v>50.12</v>
      </c>
      <c r="C48">
        <f>B48/C38</f>
        <v>2.5059999999999998</v>
      </c>
    </row>
    <row r="49" spans="1:14" x14ac:dyDescent="0.3">
      <c r="B49" s="10">
        <v>50</v>
      </c>
      <c r="C49">
        <f>B49/C38</f>
        <v>2.5</v>
      </c>
    </row>
    <row r="50" spans="1:14" x14ac:dyDescent="0.3">
      <c r="B50" s="10">
        <v>50.15</v>
      </c>
      <c r="C50">
        <f>B50/C38</f>
        <v>2.5074999999999998</v>
      </c>
      <c r="E50">
        <f>$K$3*($B$98*$B$100+$B$2*$B$37)/(2*PI()/C50)^2-$E$99-$B$2*$B$37^2</f>
        <v>1.3695443005045993</v>
      </c>
      <c r="F50" t="s">
        <v>26</v>
      </c>
    </row>
    <row r="52" spans="1:14" x14ac:dyDescent="0.3">
      <c r="A52" t="s">
        <v>34</v>
      </c>
      <c r="B52" s="3">
        <f>AVERAGE(B40:B50)</f>
        <v>50.153636363636366</v>
      </c>
      <c r="C52">
        <f>B52/20</f>
        <v>2.5076818181818181</v>
      </c>
    </row>
    <row r="54" spans="1:14" s="2" customFormat="1" x14ac:dyDescent="0.3">
      <c r="A54" s="2" t="s">
        <v>36</v>
      </c>
    </row>
    <row r="55" spans="1:14" s="6" customFormat="1" x14ac:dyDescent="0.3">
      <c r="A55" t="s">
        <v>24</v>
      </c>
      <c r="B55" s="21">
        <v>0</v>
      </c>
      <c r="C55" t="s">
        <v>16</v>
      </c>
      <c r="E55" t="s">
        <v>25</v>
      </c>
    </row>
    <row r="56" spans="1:14" s="6" customFormat="1" x14ac:dyDescent="0.3">
      <c r="A56" t="s">
        <v>24</v>
      </c>
      <c r="B56" s="22">
        <v>1.4700249999999999</v>
      </c>
      <c r="C56" t="s">
        <v>13</v>
      </c>
      <c r="E56" s="8">
        <f>$K$3*($B$98*$B$100+$B$2*B57)/(2*PI()/C73)^2-$E$99-$B$2*B57^2</f>
        <v>0.91810352140432716</v>
      </c>
      <c r="F56" t="s">
        <v>26</v>
      </c>
    </row>
    <row r="57" spans="1:14" s="6" customFormat="1" x14ac:dyDescent="0.3">
      <c r="A57" t="s">
        <v>27</v>
      </c>
      <c r="B57" s="19">
        <v>1.330325</v>
      </c>
      <c r="C57" t="s">
        <v>13</v>
      </c>
      <c r="G57" s="6">
        <f>60.5-2.625</f>
        <v>57.875</v>
      </c>
      <c r="H57" s="6">
        <f>G57-5.5</f>
        <v>52.375</v>
      </c>
      <c r="I57" s="25">
        <v>2.625</v>
      </c>
      <c r="J57" s="25"/>
      <c r="K57"/>
      <c r="N57"/>
    </row>
    <row r="58" spans="1:14" x14ac:dyDescent="0.3">
      <c r="B58" t="s">
        <v>28</v>
      </c>
      <c r="C58">
        <v>20</v>
      </c>
    </row>
    <row r="59" spans="1:14" x14ac:dyDescent="0.3">
      <c r="B59" s="1" t="s">
        <v>29</v>
      </c>
      <c r="C59" s="1" t="s">
        <v>30</v>
      </c>
      <c r="E59" t="s">
        <v>31</v>
      </c>
    </row>
    <row r="60" spans="1:14" x14ac:dyDescent="0.3">
      <c r="B60" s="10">
        <v>48.84</v>
      </c>
      <c r="C60">
        <f>B60/C58</f>
        <v>2.4420000000000002</v>
      </c>
      <c r="E60">
        <f>$K$3*($B$98*$B$100+$B$2*$B$57)/(2*PI()/C60)^2-$E$99-$B$2*$B$57^2</f>
        <v>0.89330075536354503</v>
      </c>
      <c r="F60" t="s">
        <v>26</v>
      </c>
      <c r="H60" s="20" t="s">
        <v>32</v>
      </c>
      <c r="I60" s="20"/>
      <c r="J60" s="20"/>
      <c r="K60" s="20"/>
    </row>
    <row r="61" spans="1:14" x14ac:dyDescent="0.3">
      <c r="B61" s="10">
        <v>48.93</v>
      </c>
      <c r="C61">
        <f>B61/C58</f>
        <v>2.4464999999999999</v>
      </c>
      <c r="H61" s="20" t="s">
        <v>33</v>
      </c>
      <c r="I61" s="20"/>
      <c r="J61" s="20"/>
      <c r="K61" s="20"/>
      <c r="L61" s="20"/>
    </row>
    <row r="62" spans="1:14" x14ac:dyDescent="0.3">
      <c r="B62" s="10">
        <v>49.07</v>
      </c>
      <c r="C62">
        <f>B62/C58</f>
        <v>2.4535</v>
      </c>
      <c r="I62" s="3"/>
      <c r="J62" s="3"/>
    </row>
    <row r="63" spans="1:14" x14ac:dyDescent="0.3">
      <c r="B63" s="10">
        <v>48.77</v>
      </c>
      <c r="C63">
        <f>B63/C58</f>
        <v>2.4385000000000003</v>
      </c>
      <c r="I63" s="3"/>
      <c r="J63" s="3"/>
    </row>
    <row r="64" spans="1:14" x14ac:dyDescent="0.3">
      <c r="B64" s="10">
        <v>48.95</v>
      </c>
      <c r="C64">
        <f>B64/C58</f>
        <v>2.4475000000000002</v>
      </c>
      <c r="I64" s="3"/>
      <c r="J64" s="3"/>
    </row>
    <row r="65" spans="1:11" x14ac:dyDescent="0.3">
      <c r="B65" s="10">
        <v>48.93</v>
      </c>
      <c r="C65">
        <f>B65/C58</f>
        <v>2.4464999999999999</v>
      </c>
      <c r="I65" s="3"/>
      <c r="J65" s="3"/>
    </row>
    <row r="66" spans="1:11" x14ac:dyDescent="0.3">
      <c r="B66" s="10">
        <v>48.78</v>
      </c>
      <c r="C66">
        <f>B66/C58</f>
        <v>2.4390000000000001</v>
      </c>
      <c r="I66" s="3"/>
      <c r="J66" s="3"/>
    </row>
    <row r="67" spans="1:11" x14ac:dyDescent="0.3">
      <c r="B67" s="10"/>
      <c r="I67" s="3"/>
      <c r="J67" s="3"/>
    </row>
    <row r="68" spans="1:11" x14ac:dyDescent="0.3">
      <c r="B68" s="10">
        <v>48.94</v>
      </c>
      <c r="C68">
        <f>B68/C58</f>
        <v>2.4470000000000001</v>
      </c>
      <c r="I68" s="3"/>
      <c r="J68" s="3"/>
    </row>
    <row r="69" spans="1:11" x14ac:dyDescent="0.3">
      <c r="B69" s="10">
        <v>48.82</v>
      </c>
      <c r="C69">
        <f t="shared" ref="C69" si="2">B69/25</f>
        <v>1.9528000000000001</v>
      </c>
      <c r="I69" s="3"/>
      <c r="J69" s="3"/>
    </row>
    <row r="70" spans="1:11" x14ac:dyDescent="0.3">
      <c r="B70" s="10">
        <v>49</v>
      </c>
      <c r="C70">
        <f>B70/C58</f>
        <v>2.4500000000000002</v>
      </c>
      <c r="E70">
        <f>$K$3*($B$98*$B$100+$B$2*$B$57)/(2*PI()/C70)^2-$E$99-$B$2*$B$57^2</f>
        <v>0.95079215863626576</v>
      </c>
      <c r="F70" t="s">
        <v>26</v>
      </c>
      <c r="I70" s="3"/>
      <c r="J70" s="3"/>
    </row>
    <row r="71" spans="1:11" x14ac:dyDescent="0.3">
      <c r="B71" s="10">
        <v>48.97</v>
      </c>
      <c r="C71">
        <f>B71/C58</f>
        <v>2.4485000000000001</v>
      </c>
      <c r="E71">
        <f>$K$3*($B$98*$B$100+$B$2*$B$57)/(2*PI()/C71)^2-$E$99-$B$2*$B$57^2</f>
        <v>0.93999819761835024</v>
      </c>
      <c r="F71" t="s">
        <v>26</v>
      </c>
      <c r="I71" s="3"/>
      <c r="J71" s="3"/>
    </row>
    <row r="73" spans="1:11" x14ac:dyDescent="0.3">
      <c r="A73" t="s">
        <v>34</v>
      </c>
      <c r="B73" s="3">
        <f>AVERAGE(B60:B71)</f>
        <v>48.909090909090907</v>
      </c>
      <c r="C73">
        <f>B73/C58</f>
        <v>2.4454545454545453</v>
      </c>
      <c r="I73" s="5"/>
      <c r="J73" s="5"/>
    </row>
    <row r="75" spans="1:11" s="2" customFormat="1" x14ac:dyDescent="0.3">
      <c r="A75" s="2" t="s">
        <v>37</v>
      </c>
    </row>
    <row r="76" spans="1:11" s="6" customFormat="1" x14ac:dyDescent="0.3">
      <c r="A76" t="s">
        <v>38</v>
      </c>
      <c r="B76" s="11">
        <v>-45</v>
      </c>
      <c r="C76" t="s">
        <v>39</v>
      </c>
      <c r="E76" t="s">
        <v>40</v>
      </c>
      <c r="H76" t="s">
        <v>41</v>
      </c>
    </row>
    <row r="77" spans="1:11" s="6" customFormat="1" x14ac:dyDescent="0.3">
      <c r="A77" t="s">
        <v>24</v>
      </c>
      <c r="B77" s="11">
        <v>-3</v>
      </c>
      <c r="C77" t="s">
        <v>16</v>
      </c>
      <c r="E77" s="12">
        <f>$K$3*($B$98*$B$100+$B$2*B79)/(2*PI()/C95)^2-$E$99-$B$2*B79^2</f>
        <v>0.30952018675429649</v>
      </c>
      <c r="F77" t="s">
        <v>26</v>
      </c>
      <c r="H77" s="8">
        <f>(E77-E36*COS(RADIANS(B76))^2-E15*SIN(RADIANS(B76))^2)/SIN(RADIANS(2*B76))</f>
        <v>0.64852976964323483</v>
      </c>
      <c r="I77" t="s">
        <v>26</v>
      </c>
    </row>
    <row r="78" spans="1:11" s="6" customFormat="1" x14ac:dyDescent="0.3">
      <c r="A78" t="s">
        <v>24</v>
      </c>
      <c r="B78" s="7">
        <v>-7.6200000000000004E-2</v>
      </c>
      <c r="C78" t="s">
        <v>13</v>
      </c>
    </row>
    <row r="79" spans="1:11" s="6" customFormat="1" x14ac:dyDescent="0.3">
      <c r="A79" t="s">
        <v>27</v>
      </c>
      <c r="B79" s="19">
        <v>1.4700249999999999</v>
      </c>
      <c r="C79" t="s">
        <v>13</v>
      </c>
      <c r="I79" s="25"/>
      <c r="J79" s="25"/>
      <c r="K79">
        <f>60.5-I57</f>
        <v>57.875</v>
      </c>
    </row>
    <row r="80" spans="1:11" x14ac:dyDescent="0.3">
      <c r="B80" t="s">
        <v>28</v>
      </c>
      <c r="C80">
        <v>20</v>
      </c>
    </row>
    <row r="81" spans="1:12" x14ac:dyDescent="0.3">
      <c r="B81" s="1" t="s">
        <v>29</v>
      </c>
      <c r="C81" s="1" t="s">
        <v>30</v>
      </c>
      <c r="E81" t="s">
        <v>31</v>
      </c>
    </row>
    <row r="82" spans="1:12" x14ac:dyDescent="0.3">
      <c r="B82" s="10">
        <v>49.4</v>
      </c>
      <c r="C82">
        <f>B82/C80</f>
        <v>2.4699999999999998</v>
      </c>
      <c r="E82">
        <f>$K$3*($B$98*$B$100+$B$2*$B$57)/(2*PI()/C82)^2-$E$99-$B$2*$B$57^2</f>
        <v>1.0953433156792842</v>
      </c>
      <c r="F82" t="s">
        <v>26</v>
      </c>
      <c r="H82" s="20" t="s">
        <v>32</v>
      </c>
      <c r="I82" s="20"/>
      <c r="J82" s="20"/>
      <c r="K82" s="20"/>
    </row>
    <row r="83" spans="1:12" x14ac:dyDescent="0.3">
      <c r="B83" s="10">
        <v>49.44</v>
      </c>
      <c r="C83">
        <f>B83/C80</f>
        <v>2.472</v>
      </c>
      <c r="H83" s="20" t="s">
        <v>33</v>
      </c>
      <c r="I83" s="20"/>
      <c r="J83" s="20"/>
      <c r="K83" s="20"/>
      <c r="L83" s="20"/>
    </row>
    <row r="84" spans="1:12" x14ac:dyDescent="0.3">
      <c r="B84" s="10">
        <v>49.47</v>
      </c>
      <c r="C84">
        <f>B84/C80</f>
        <v>2.4735</v>
      </c>
      <c r="I84" s="3"/>
      <c r="J84" s="3"/>
    </row>
    <row r="85" spans="1:12" x14ac:dyDescent="0.3">
      <c r="B85" s="10">
        <v>49.37</v>
      </c>
      <c r="C85">
        <f>B85/C80</f>
        <v>2.4684999999999997</v>
      </c>
      <c r="I85" s="3"/>
      <c r="J85" s="3"/>
    </row>
    <row r="86" spans="1:12" x14ac:dyDescent="0.3">
      <c r="B86" s="10">
        <v>49.32</v>
      </c>
      <c r="C86">
        <f>B86/C80</f>
        <v>2.4660000000000002</v>
      </c>
      <c r="I86" s="3"/>
      <c r="J86" s="3"/>
    </row>
    <row r="87" spans="1:12" x14ac:dyDescent="0.3">
      <c r="B87" s="10">
        <v>49.63</v>
      </c>
      <c r="C87">
        <f>B87/C80</f>
        <v>2.4815</v>
      </c>
      <c r="I87" s="3"/>
      <c r="J87" s="3"/>
    </row>
    <row r="88" spans="1:12" x14ac:dyDescent="0.3">
      <c r="B88" s="10">
        <v>49.34</v>
      </c>
      <c r="C88">
        <f>B88/C80</f>
        <v>2.4670000000000001</v>
      </c>
      <c r="I88" s="3"/>
      <c r="J88" s="3"/>
    </row>
    <row r="89" spans="1:12" x14ac:dyDescent="0.3">
      <c r="B89" s="10">
        <v>49.58</v>
      </c>
      <c r="C89">
        <f>B89/C80</f>
        <v>2.4790000000000001</v>
      </c>
      <c r="I89" s="3"/>
      <c r="J89" s="3"/>
    </row>
    <row r="90" spans="1:12" x14ac:dyDescent="0.3">
      <c r="B90" s="10">
        <v>49.37</v>
      </c>
      <c r="C90">
        <f>B90/C80</f>
        <v>2.4684999999999997</v>
      </c>
      <c r="I90" s="3"/>
      <c r="J90" s="3"/>
    </row>
    <row r="91" spans="1:12" x14ac:dyDescent="0.3">
      <c r="B91" s="10">
        <v>49.39</v>
      </c>
      <c r="C91">
        <f>B91/C80</f>
        <v>2.4695</v>
      </c>
      <c r="I91" s="3"/>
      <c r="J91" s="3"/>
    </row>
    <row r="92" spans="1:12" x14ac:dyDescent="0.3">
      <c r="B92" s="10">
        <v>49.53</v>
      </c>
      <c r="C92">
        <f>B92/C80</f>
        <v>2.4765000000000001</v>
      </c>
      <c r="I92" s="3"/>
      <c r="J92" s="3"/>
    </row>
    <row r="93" spans="1:12" x14ac:dyDescent="0.3">
      <c r="B93" s="10">
        <v>49.32</v>
      </c>
      <c r="C93">
        <f>B93/C80</f>
        <v>2.4660000000000002</v>
      </c>
      <c r="E93">
        <f>$K$3*($B$98*$B$100+$B$2*$B$57)/(2*PI()/C93)^2-$E$99-$B$2*$B$57^2</f>
        <v>1.0663390672579718</v>
      </c>
      <c r="F93" t="s">
        <v>26</v>
      </c>
      <c r="I93" s="3"/>
      <c r="J93" s="3"/>
    </row>
    <row r="95" spans="1:12" x14ac:dyDescent="0.3">
      <c r="A95" t="s">
        <v>34</v>
      </c>
      <c r="B95" s="3">
        <f>AVERAGE(B82:B93)</f>
        <v>49.430000000000007</v>
      </c>
      <c r="C95">
        <f>B95/20</f>
        <v>2.4715000000000003</v>
      </c>
      <c r="I95" s="5"/>
      <c r="J95" s="5"/>
    </row>
    <row r="97" spans="1:9" s="2" customFormat="1" x14ac:dyDescent="0.3">
      <c r="A97" s="2" t="s">
        <v>49</v>
      </c>
    </row>
    <row r="98" spans="1:9" s="6" customFormat="1" x14ac:dyDescent="0.3">
      <c r="A98" t="s">
        <v>42</v>
      </c>
      <c r="B98" s="11">
        <v>0</v>
      </c>
      <c r="C98" t="s">
        <v>3</v>
      </c>
      <c r="E98" t="s">
        <v>43</v>
      </c>
      <c r="I98" s="6">
        <f>B98*2.20462</f>
        <v>0</v>
      </c>
    </row>
    <row r="99" spans="1:9" s="6" customFormat="1" x14ac:dyDescent="0.3">
      <c r="A99" t="s">
        <v>44</v>
      </c>
      <c r="B99" s="11">
        <v>0</v>
      </c>
      <c r="C99" t="s">
        <v>16</v>
      </c>
      <c r="E99" s="5">
        <f>B98*K3*B100*C118^2/(4*PI()*PI())</f>
        <v>0</v>
      </c>
      <c r="F99" t="s">
        <v>26</v>
      </c>
    </row>
    <row r="100" spans="1:9" s="6" customFormat="1" x14ac:dyDescent="0.3">
      <c r="A100" t="s">
        <v>44</v>
      </c>
      <c r="B100">
        <f>B99*0.0254</f>
        <v>0</v>
      </c>
      <c r="C100" t="s">
        <v>13</v>
      </c>
    </row>
    <row r="101" spans="1:9" x14ac:dyDescent="0.3">
      <c r="B101" t="s">
        <v>48</v>
      </c>
      <c r="C101">
        <v>20</v>
      </c>
      <c r="E101" t="s">
        <v>45</v>
      </c>
    </row>
    <row r="102" spans="1:9" x14ac:dyDescent="0.3">
      <c r="B102" s="1" t="s">
        <v>29</v>
      </c>
      <c r="C102" s="1" t="s">
        <v>30</v>
      </c>
      <c r="E102" s="4">
        <f>E99-B98*B100^2</f>
        <v>0</v>
      </c>
      <c r="F102" t="s">
        <v>26</v>
      </c>
    </row>
    <row r="103" spans="1:9" x14ac:dyDescent="0.3">
      <c r="B103" s="10">
        <v>47.39</v>
      </c>
      <c r="C103">
        <f>B103/C101</f>
        <v>2.3694999999999999</v>
      </c>
      <c r="G103" s="9"/>
      <c r="H103" s="9"/>
      <c r="I103" s="9"/>
    </row>
    <row r="104" spans="1:9" x14ac:dyDescent="0.3">
      <c r="B104" s="10">
        <v>47.38</v>
      </c>
      <c r="C104">
        <f>B104/C101</f>
        <v>2.3690000000000002</v>
      </c>
      <c r="G104" s="9"/>
      <c r="H104" s="9"/>
      <c r="I104" s="9"/>
    </row>
    <row r="105" spans="1:9" x14ac:dyDescent="0.3">
      <c r="B105" s="10">
        <v>47.36</v>
      </c>
      <c r="C105">
        <f>B105/C101</f>
        <v>2.3679999999999999</v>
      </c>
      <c r="G105" s="9"/>
      <c r="H105" s="9"/>
      <c r="I105" s="9"/>
    </row>
    <row r="106" spans="1:9" x14ac:dyDescent="0.3">
      <c r="B106" s="10">
        <v>47.3</v>
      </c>
      <c r="C106">
        <f>B106/C101</f>
        <v>2.3649999999999998</v>
      </c>
    </row>
    <row r="107" spans="1:9" x14ac:dyDescent="0.3">
      <c r="B107" s="10">
        <v>47.34</v>
      </c>
      <c r="C107">
        <f>B107/C101</f>
        <v>2.367</v>
      </c>
    </row>
    <row r="108" spans="1:9" x14ac:dyDescent="0.3">
      <c r="B108" s="10">
        <v>47.27</v>
      </c>
      <c r="C108">
        <f>B108/C101</f>
        <v>2.3635000000000002</v>
      </c>
    </row>
    <row r="109" spans="1:9" x14ac:dyDescent="0.3">
      <c r="B109" s="10">
        <v>47.28</v>
      </c>
      <c r="C109">
        <f>B109/C101</f>
        <v>2.3639999999999999</v>
      </c>
    </row>
    <row r="110" spans="1:9" x14ac:dyDescent="0.3">
      <c r="B110" s="10">
        <v>47.37</v>
      </c>
      <c r="C110">
        <f>B110/C101</f>
        <v>2.3685</v>
      </c>
    </row>
    <row r="111" spans="1:9" x14ac:dyDescent="0.3">
      <c r="B111" s="10">
        <v>47.27</v>
      </c>
      <c r="C111">
        <f>B111/C101</f>
        <v>2.3635000000000002</v>
      </c>
    </row>
    <row r="112" spans="1:9" x14ac:dyDescent="0.3">
      <c r="B112" s="10">
        <v>47.32</v>
      </c>
      <c r="C112">
        <f>B112/C101</f>
        <v>2.3660000000000001</v>
      </c>
    </row>
    <row r="113" spans="1:7" x14ac:dyDescent="0.3">
      <c r="B113" s="10">
        <v>47.37</v>
      </c>
      <c r="C113">
        <f>B113/C101</f>
        <v>2.3685</v>
      </c>
    </row>
    <row r="114" spans="1:7" x14ac:dyDescent="0.3">
      <c r="B114" s="10">
        <v>47.23</v>
      </c>
      <c r="C114">
        <f>B114/C101</f>
        <v>2.3614999999999999</v>
      </c>
    </row>
    <row r="115" spans="1:7" x14ac:dyDescent="0.3">
      <c r="B115" s="10">
        <v>47.39</v>
      </c>
      <c r="C115">
        <f>B115/C101</f>
        <v>2.3694999999999999</v>
      </c>
    </row>
    <row r="116" spans="1:7" x14ac:dyDescent="0.3">
      <c r="B116" s="10"/>
      <c r="C116">
        <f>B116/C101</f>
        <v>0</v>
      </c>
    </row>
    <row r="118" spans="1:7" x14ac:dyDescent="0.3">
      <c r="A118" t="s">
        <v>34</v>
      </c>
      <c r="B118" s="3">
        <f>AVERAGE(B103:B116)</f>
        <v>47.328461538461539</v>
      </c>
      <c r="C118">
        <f>B118/25</f>
        <v>1.8931384615384617</v>
      </c>
    </row>
    <row r="120" spans="1:7" x14ac:dyDescent="0.3">
      <c r="A120" s="2" t="s">
        <v>50</v>
      </c>
      <c r="B120" s="2"/>
      <c r="C120" s="2"/>
      <c r="D120" s="2"/>
      <c r="E120" s="2"/>
      <c r="F120" s="2"/>
      <c r="G120" s="2"/>
    </row>
    <row r="121" spans="1:7" x14ac:dyDescent="0.3">
      <c r="A121" t="s">
        <v>42</v>
      </c>
      <c r="B121" s="11">
        <v>1.2965999993249999</v>
      </c>
      <c r="C121" t="s">
        <v>3</v>
      </c>
      <c r="D121" s="6"/>
      <c r="E121" t="s">
        <v>43</v>
      </c>
      <c r="F121" s="6"/>
      <c r="G121" s="6"/>
    </row>
    <row r="122" spans="1:7" x14ac:dyDescent="0.3">
      <c r="A122" t="s">
        <v>44</v>
      </c>
      <c r="B122" s="11">
        <f>56.5-I57</f>
        <v>53.875</v>
      </c>
      <c r="C122" t="s">
        <v>16</v>
      </c>
      <c r="D122" s="6"/>
      <c r="E122" s="5">
        <f>B121*K26*B123*C141^2/(4*PI()*PI())</f>
        <v>0</v>
      </c>
      <c r="F122" t="s">
        <v>26</v>
      </c>
      <c r="G122" s="6"/>
    </row>
    <row r="123" spans="1:7" x14ac:dyDescent="0.3">
      <c r="A123" t="s">
        <v>44</v>
      </c>
      <c r="B123">
        <f>B122*0.0254</f>
        <v>1.368425</v>
      </c>
      <c r="C123" t="s">
        <v>13</v>
      </c>
      <c r="D123" s="6"/>
      <c r="E123" s="6"/>
      <c r="F123" s="6"/>
      <c r="G123" s="6"/>
    </row>
    <row r="124" spans="1:7" x14ac:dyDescent="0.3">
      <c r="B124" t="s">
        <v>48</v>
      </c>
      <c r="C124">
        <v>20</v>
      </c>
      <c r="E124" t="s">
        <v>45</v>
      </c>
    </row>
    <row r="125" spans="1:7" x14ac:dyDescent="0.3">
      <c r="B125" s="1" t="s">
        <v>29</v>
      </c>
      <c r="C125" s="1" t="s">
        <v>30</v>
      </c>
      <c r="E125" s="4">
        <f>E122-B121*B123^2</f>
        <v>-2.4279962778143784</v>
      </c>
      <c r="F125" t="s">
        <v>26</v>
      </c>
    </row>
    <row r="126" spans="1:7" x14ac:dyDescent="0.3">
      <c r="B126" s="10">
        <v>46.82</v>
      </c>
      <c r="C126">
        <f>B126/C124</f>
        <v>2.3410000000000002</v>
      </c>
      <c r="G126" s="9"/>
    </row>
    <row r="127" spans="1:7" x14ac:dyDescent="0.3">
      <c r="B127" s="10">
        <v>46.92</v>
      </c>
      <c r="C127">
        <f>B127/C124</f>
        <v>2.3460000000000001</v>
      </c>
      <c r="G127" s="9"/>
    </row>
    <row r="128" spans="1:7" x14ac:dyDescent="0.3">
      <c r="B128" s="10">
        <v>46.95</v>
      </c>
      <c r="C128">
        <f>B128/C124</f>
        <v>2.3475000000000001</v>
      </c>
      <c r="G128" s="9"/>
    </row>
    <row r="129" spans="1:3" x14ac:dyDescent="0.3">
      <c r="B129" s="10">
        <v>46.89</v>
      </c>
      <c r="C129">
        <f>B129/C124</f>
        <v>2.3445</v>
      </c>
    </row>
    <row r="130" spans="1:3" x14ac:dyDescent="0.3">
      <c r="B130" s="10">
        <v>46.74</v>
      </c>
      <c r="C130">
        <f>B130/C124</f>
        <v>2.3370000000000002</v>
      </c>
    </row>
    <row r="131" spans="1:3" x14ac:dyDescent="0.3">
      <c r="B131" s="10">
        <v>46.95</v>
      </c>
      <c r="C131">
        <f>B131/C124</f>
        <v>2.3475000000000001</v>
      </c>
    </row>
    <row r="132" spans="1:3" x14ac:dyDescent="0.3">
      <c r="B132" s="10">
        <v>46.85</v>
      </c>
      <c r="C132">
        <f>B132/C124</f>
        <v>2.3425000000000002</v>
      </c>
    </row>
    <row r="133" spans="1:3" x14ac:dyDescent="0.3">
      <c r="B133" s="10">
        <v>46.76</v>
      </c>
      <c r="C133">
        <f>B133/C124</f>
        <v>2.3380000000000001</v>
      </c>
    </row>
    <row r="134" spans="1:3" x14ac:dyDescent="0.3">
      <c r="B134" s="10">
        <v>46.78</v>
      </c>
      <c r="C134">
        <f>B134/C124</f>
        <v>2.339</v>
      </c>
    </row>
    <row r="135" spans="1:3" x14ac:dyDescent="0.3">
      <c r="B135" s="10">
        <v>46.98</v>
      </c>
      <c r="C135">
        <f>B135/C124</f>
        <v>2.3489999999999998</v>
      </c>
    </row>
    <row r="136" spans="1:3" x14ac:dyDescent="0.3">
      <c r="B136" s="10">
        <v>46.77</v>
      </c>
      <c r="C136">
        <f>B136/C124</f>
        <v>2.3385000000000002</v>
      </c>
    </row>
    <row r="137" spans="1:3" x14ac:dyDescent="0.3">
      <c r="B137" s="10"/>
      <c r="C137">
        <f>B137/C124</f>
        <v>0</v>
      </c>
    </row>
    <row r="138" spans="1:3" x14ac:dyDescent="0.3">
      <c r="B138" s="10"/>
      <c r="C138">
        <f>B138/C124</f>
        <v>0</v>
      </c>
    </row>
    <row r="139" spans="1:3" x14ac:dyDescent="0.3">
      <c r="B139" s="10"/>
      <c r="C139">
        <f>B139/C124</f>
        <v>0</v>
      </c>
    </row>
    <row r="141" spans="1:3" x14ac:dyDescent="0.3">
      <c r="A141" t="s">
        <v>34</v>
      </c>
      <c r="B141" s="3">
        <f>AVERAGE(B126:B139)</f>
        <v>46.855454545454542</v>
      </c>
      <c r="C141">
        <f>B141/25</f>
        <v>1.8742181818181818</v>
      </c>
    </row>
  </sheetData>
  <mergeCells count="3">
    <mergeCell ref="K1:L1"/>
    <mergeCell ref="I57:J57"/>
    <mergeCell ref="I79:J7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12June2025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Simmons</dc:creator>
  <cp:keywords/>
  <dc:description/>
  <cp:lastModifiedBy>Asper, Garrett</cp:lastModifiedBy>
  <cp:revision/>
  <dcterms:created xsi:type="dcterms:W3CDTF">2017-12-19T00:52:26Z</dcterms:created>
  <dcterms:modified xsi:type="dcterms:W3CDTF">2025-06-12T18:44:54Z</dcterms:modified>
  <cp:category/>
  <cp:contentStatus/>
</cp:coreProperties>
</file>