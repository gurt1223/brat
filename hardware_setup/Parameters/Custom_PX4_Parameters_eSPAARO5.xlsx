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urt1\OneDrive - Virginia Tech\Documents\MATLAB\brat\16-eSP-Fault\multirotor-hover-controller\hardware_setup\Parameters\"/>
    </mc:Choice>
  </mc:AlternateContent>
  <xr:revisionPtr revIDLastSave="0" documentId="13_ncr:1_{BE6539D6-E672-468B-80A8-7E856671A82B}" xr6:coauthVersionLast="47" xr6:coauthVersionMax="47" xr10:uidLastSave="{00000000-0000-0000-0000-000000000000}"/>
  <bookViews>
    <workbookView xWindow="-108" yWindow="-108" windowWidth="23256" windowHeight="13896" xr2:uid="{26D957D9-8B0D-4A84-80CE-F5D4DDC04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17" i="1"/>
  <c r="K16" i="1"/>
  <c r="K19" i="1"/>
  <c r="K18" i="1"/>
  <c r="K15" i="1"/>
  <c r="K14" i="1"/>
  <c r="K23" i="1"/>
  <c r="K22" i="1"/>
  <c r="K21" i="1"/>
  <c r="K13" i="1"/>
  <c r="K3" i="1"/>
  <c r="K4" i="1"/>
  <c r="K5" i="1"/>
  <c r="K6" i="1"/>
  <c r="K7" i="1"/>
  <c r="K8" i="1"/>
  <c r="K9" i="1"/>
  <c r="K10" i="1"/>
  <c r="K11" i="1"/>
  <c r="K12" i="1"/>
</calcChain>
</file>

<file path=xl/sharedStrings.xml><?xml version="1.0" encoding="utf-8"?>
<sst xmlns="http://schemas.openxmlformats.org/spreadsheetml/2006/main" count="118" uniqueCount="78">
  <si>
    <t>Parameter</t>
  </si>
  <si>
    <t>Data_Type</t>
  </si>
  <si>
    <t>Group</t>
  </si>
  <si>
    <t>Min</t>
  </si>
  <si>
    <t>Max</t>
  </si>
  <si>
    <t>Decimal</t>
  </si>
  <si>
    <t>Current Value</t>
  </si>
  <si>
    <t>Different from Default</t>
  </si>
  <si>
    <t>Single</t>
  </si>
  <si>
    <t>Long_Description</t>
  </si>
  <si>
    <t>Short_Description</t>
  </si>
  <si>
    <t>Custom PX4 Parameters</t>
  </si>
  <si>
    <t>Default_Values</t>
  </si>
  <si>
    <r>
      <t xml:space="preserve">All parameters in this file will be autocoded to the module.yaml file in the battery_status module. PX4 will then create them as paramters that can be modified in QGroundControl after the user steps through the hardware setup screens. </t>
    </r>
    <r>
      <rPr>
        <sz val="11"/>
        <color rgb="FFFFC000"/>
        <rFont val="Aptos Narrow"/>
        <family val="2"/>
        <scheme val="minor"/>
      </rPr>
      <t xml:space="preserve">Please maintain the file as a local copy and do not sync through OneDrive. Use gitlab for version control on the repository. </t>
    </r>
  </si>
  <si>
    <t>PTI_DOUB_AMP</t>
  </si>
  <si>
    <t>PTI_DOUB_T</t>
  </si>
  <si>
    <t>PTI_MS_T</t>
  </si>
  <si>
    <t>PTI</t>
  </si>
  <si>
    <t>PTI_SWP_F_START</t>
  </si>
  <si>
    <t>PTI_SWP_F_STOP</t>
  </si>
  <si>
    <t>PTI_SWP_T</t>
  </si>
  <si>
    <t>PTI_DOUB_SEL</t>
  </si>
  <si>
    <t>PTI_MS_SEL</t>
  </si>
  <si>
    <t>PTI_SWP_SEL</t>
  </si>
  <si>
    <t>PTI Doublet Amplitude</t>
  </si>
  <si>
    <t>PTI_MS_AMP</t>
  </si>
  <si>
    <t>PTI Doublet Period</t>
  </si>
  <si>
    <t>PTI MS Amplitude</t>
  </si>
  <si>
    <t>PTI MS Period</t>
  </si>
  <si>
    <t>PTI SWP Period</t>
  </si>
  <si>
    <t>PTI SWP Start Frequency</t>
  </si>
  <si>
    <t>PTI SWP Stop Freuqency</t>
  </si>
  <si>
    <t>PTI Doublet Selection</t>
  </si>
  <si>
    <t>PTI MS Selection</t>
  </si>
  <si>
    <t>PTI SWP Selection</t>
  </si>
  <si>
    <t>Period of entire doublet performed</t>
  </si>
  <si>
    <t>Amplitude of doublet at full knob (0 - 1)</t>
  </si>
  <si>
    <t>Starting frequency for frequency sweep</t>
  </si>
  <si>
    <t>Stopping frequency for frequency sweep</t>
  </si>
  <si>
    <t>Period of frequency sweep</t>
  </si>
  <si>
    <t>Period of multisine</t>
  </si>
  <si>
    <t>Selection for doublets</t>
  </si>
  <si>
    <t>Selection for multisines</t>
  </si>
  <si>
    <t>Selection for frequency sweeps</t>
  </si>
  <si>
    <t>PTI_SWP_AMP</t>
  </si>
  <si>
    <t>PTI SWP Amplitude</t>
  </si>
  <si>
    <t>Amplitude of frequency sweep at full knob (0 - 1)</t>
  </si>
  <si>
    <t>MANUAL_ACT_CHK</t>
  </si>
  <si>
    <t>MANUAL_ACT_IDX</t>
  </si>
  <si>
    <t>MANUAL_ACT_VAL</t>
  </si>
  <si>
    <t>Enable Manual Actuator</t>
  </si>
  <si>
    <t>Manual Actuator Index</t>
  </si>
  <si>
    <t>Manual Actuator Command</t>
  </si>
  <si>
    <t>ManualActuator</t>
  </si>
  <si>
    <t>Enables the manual actuator testing mode</t>
  </si>
  <si>
    <t>Specifies the index of the actuator being tested</t>
  </si>
  <si>
    <t>Value being sent to the actuator</t>
  </si>
  <si>
    <t>PTI_MODE_CHG</t>
  </si>
  <si>
    <t>PTI Term Mode Change</t>
  </si>
  <si>
    <t xml:space="preserve">PTI will stop when not in external mode </t>
  </si>
  <si>
    <t>PTI_MOTOR_AMP</t>
  </si>
  <si>
    <t>PTI MS Motor Amplitude</t>
  </si>
  <si>
    <t>FAULT_SURFACE</t>
  </si>
  <si>
    <t>Fault Control Surface</t>
  </si>
  <si>
    <t>Fault</t>
  </si>
  <si>
    <t>FAULT_ENGAGE</t>
  </si>
  <si>
    <t>Engage Fault</t>
  </si>
  <si>
    <t>0: No Fault, 1: Engage Fault</t>
  </si>
  <si>
    <t>Amplitude of control surface multisine at full knob (0 - 1)</t>
  </si>
  <si>
    <t>PTI_MOT_MS_LOW</t>
  </si>
  <si>
    <t>PTI_MOT_MS_HIGH</t>
  </si>
  <si>
    <t>Low Motor Amplitude MS</t>
  </si>
  <si>
    <t>High Motor Amplitude MS</t>
  </si>
  <si>
    <t>1: Left Aileron, 2: Right Aileron, 3: Left A-tail, 4: Right A-tail, 5: Motor 1, …, 9: Landing brake, 10: Aux 2 passthru</t>
  </si>
  <si>
    <t>FAULT_COMMAND</t>
  </si>
  <si>
    <t>Fault Command</t>
  </si>
  <si>
    <t xml:space="preserve">Single </t>
  </si>
  <si>
    <t>Any value in the range is manually sent to the failed control effector as a stuck command.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</si>
</sst>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4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FC62-AAEB-46A2-86BB-E6879DAFD8FB}">
  <dimension ref="A1:K250"/>
  <sheetViews>
    <sheetView tabSelected="1" topLeftCell="A9" zoomScale="130" zoomScaleNormal="130" workbookViewId="0">
      <pane xSplit="2" topLeftCell="C1" activePane="topRight" state="frozen"/>
      <selection pane="topRight" activeCell="F16" sqref="F16"/>
    </sheetView>
  </sheetViews>
  <sheetFormatPr defaultRowHeight="14.4" x14ac:dyDescent="0.3"/>
  <cols>
    <col min="1" max="1" width="17.44140625" customWidth="1"/>
    <col min="2" max="2" width="18.6640625" customWidth="1"/>
    <col min="3" max="3" width="23.44140625" bestFit="1" customWidth="1"/>
    <col min="4" max="4" width="9" bestFit="1" customWidth="1"/>
    <col min="5" max="5" width="16.44140625" customWidth="1"/>
    <col min="9" max="9" width="47" customWidth="1"/>
    <col min="10" max="10" width="19.44140625" customWidth="1"/>
    <col min="11" max="11" width="18.44140625" bestFit="1" customWidth="1"/>
  </cols>
  <sheetData>
    <row r="1" spans="1:11" ht="29.7" customHeight="1" thickBot="1" x14ac:dyDescent="0.35">
      <c r="A1" s="8" t="s">
        <v>11</v>
      </c>
      <c r="B1" s="9"/>
      <c r="C1" s="10" t="s">
        <v>13</v>
      </c>
      <c r="D1" s="10"/>
      <c r="E1" s="10"/>
      <c r="F1" s="10"/>
      <c r="G1" s="10"/>
      <c r="H1" s="10"/>
      <c r="I1" s="10"/>
      <c r="J1" s="10"/>
      <c r="K1" s="11"/>
    </row>
    <row r="2" spans="1:11" ht="15" thickBot="1" x14ac:dyDescent="0.35">
      <c r="A2" s="2" t="s">
        <v>0</v>
      </c>
      <c r="B2" s="2" t="s">
        <v>12</v>
      </c>
      <c r="C2" s="2" t="s">
        <v>10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9</v>
      </c>
      <c r="J2" s="2" t="s">
        <v>6</v>
      </c>
      <c r="K2" s="2" t="s">
        <v>7</v>
      </c>
    </row>
    <row r="3" spans="1:11" ht="15" thickBot="1" x14ac:dyDescent="0.35">
      <c r="A3" s="6" t="s">
        <v>14</v>
      </c>
      <c r="B3" s="3">
        <v>0.3</v>
      </c>
      <c r="C3" s="3" t="s">
        <v>24</v>
      </c>
      <c r="D3" s="3" t="s">
        <v>8</v>
      </c>
      <c r="E3" s="3" t="s">
        <v>17</v>
      </c>
      <c r="F3" s="3">
        <v>0</v>
      </c>
      <c r="G3" s="3">
        <v>1</v>
      </c>
      <c r="H3" s="3">
        <v>3</v>
      </c>
      <c r="I3" s="3" t="s">
        <v>36</v>
      </c>
      <c r="J3" s="4"/>
      <c r="K3" s="5" t="b">
        <f t="shared" ref="K3:K14" si="0">TRIM(CLEAN(B3))&lt;&gt;TRIM(CLEAN(J3))</f>
        <v>1</v>
      </c>
    </row>
    <row r="4" spans="1:11" ht="15" thickBot="1" x14ac:dyDescent="0.35">
      <c r="A4" s="6" t="s">
        <v>15</v>
      </c>
      <c r="B4" s="3">
        <v>4</v>
      </c>
      <c r="C4" s="3" t="s">
        <v>26</v>
      </c>
      <c r="D4" s="3" t="s">
        <v>8</v>
      </c>
      <c r="E4" s="3" t="s">
        <v>17</v>
      </c>
      <c r="F4" s="3">
        <v>0</v>
      </c>
      <c r="G4" s="3">
        <v>100</v>
      </c>
      <c r="H4" s="3">
        <v>3</v>
      </c>
      <c r="I4" s="3" t="s">
        <v>35</v>
      </c>
      <c r="J4" s="4"/>
      <c r="K4" s="5" t="b">
        <f t="shared" si="0"/>
        <v>1</v>
      </c>
    </row>
    <row r="5" spans="1:11" ht="15" thickBot="1" x14ac:dyDescent="0.35">
      <c r="A5" s="6" t="s">
        <v>25</v>
      </c>
      <c r="B5" s="3">
        <v>1</v>
      </c>
      <c r="C5" s="3" t="s">
        <v>27</v>
      </c>
      <c r="D5" s="3" t="s">
        <v>8</v>
      </c>
      <c r="E5" s="3" t="s">
        <v>17</v>
      </c>
      <c r="F5" s="3">
        <v>0</v>
      </c>
      <c r="G5" s="3">
        <v>1</v>
      </c>
      <c r="H5" s="3">
        <v>3</v>
      </c>
      <c r="I5" s="3" t="s">
        <v>68</v>
      </c>
      <c r="J5" s="4"/>
      <c r="K5" s="5" t="b">
        <f t="shared" si="0"/>
        <v>1</v>
      </c>
    </row>
    <row r="6" spans="1:11" ht="15" thickBot="1" x14ac:dyDescent="0.35">
      <c r="A6" s="6" t="s">
        <v>16</v>
      </c>
      <c r="B6" s="3">
        <v>20</v>
      </c>
      <c r="C6" s="3" t="s">
        <v>28</v>
      </c>
      <c r="D6" s="3" t="s">
        <v>8</v>
      </c>
      <c r="E6" s="3" t="s">
        <v>17</v>
      </c>
      <c r="F6" s="3">
        <v>0</v>
      </c>
      <c r="G6" s="3">
        <v>1000</v>
      </c>
      <c r="H6" s="3">
        <v>3</v>
      </c>
      <c r="I6" s="3" t="s">
        <v>40</v>
      </c>
      <c r="J6" s="4"/>
      <c r="K6" s="5" t="b">
        <f t="shared" si="0"/>
        <v>1</v>
      </c>
    </row>
    <row r="7" spans="1:11" ht="15" thickBot="1" x14ac:dyDescent="0.35">
      <c r="A7" s="6" t="s">
        <v>44</v>
      </c>
      <c r="B7" s="3">
        <v>0.3</v>
      </c>
      <c r="C7" s="3" t="s">
        <v>45</v>
      </c>
      <c r="D7" s="3" t="s">
        <v>8</v>
      </c>
      <c r="E7" s="3" t="s">
        <v>17</v>
      </c>
      <c r="F7" s="3">
        <v>0</v>
      </c>
      <c r="G7" s="3">
        <v>1</v>
      </c>
      <c r="H7" s="3">
        <v>3</v>
      </c>
      <c r="I7" s="3" t="s">
        <v>46</v>
      </c>
      <c r="J7" s="4"/>
      <c r="K7" s="5" t="b">
        <f t="shared" si="0"/>
        <v>1</v>
      </c>
    </row>
    <row r="8" spans="1:11" ht="15" thickBot="1" x14ac:dyDescent="0.35">
      <c r="A8" s="6" t="s">
        <v>18</v>
      </c>
      <c r="B8" s="3">
        <v>0.2</v>
      </c>
      <c r="C8" s="3" t="s">
        <v>30</v>
      </c>
      <c r="D8" s="3" t="s">
        <v>8</v>
      </c>
      <c r="E8" s="3" t="s">
        <v>17</v>
      </c>
      <c r="F8" s="3">
        <v>0</v>
      </c>
      <c r="G8" s="3">
        <v>100</v>
      </c>
      <c r="H8" s="3">
        <v>3</v>
      </c>
      <c r="I8" s="3" t="s">
        <v>37</v>
      </c>
      <c r="J8" s="4"/>
      <c r="K8" s="5" t="b">
        <f t="shared" si="0"/>
        <v>1</v>
      </c>
    </row>
    <row r="9" spans="1:11" ht="15" thickBot="1" x14ac:dyDescent="0.35">
      <c r="A9" s="6" t="s">
        <v>19</v>
      </c>
      <c r="B9" s="3">
        <v>2</v>
      </c>
      <c r="C9" s="3" t="s">
        <v>31</v>
      </c>
      <c r="D9" s="3" t="s">
        <v>8</v>
      </c>
      <c r="E9" s="3" t="s">
        <v>17</v>
      </c>
      <c r="F9" s="3">
        <v>0</v>
      </c>
      <c r="G9" s="3">
        <v>100</v>
      </c>
      <c r="H9" s="3">
        <v>3</v>
      </c>
      <c r="I9" s="3" t="s">
        <v>38</v>
      </c>
      <c r="J9" s="4"/>
      <c r="K9" s="5" t="b">
        <f t="shared" si="0"/>
        <v>1</v>
      </c>
    </row>
    <row r="10" spans="1:11" ht="15" thickBot="1" x14ac:dyDescent="0.35">
      <c r="A10" s="6" t="s">
        <v>20</v>
      </c>
      <c r="B10" s="3">
        <v>20</v>
      </c>
      <c r="C10" s="3" t="s">
        <v>29</v>
      </c>
      <c r="D10" s="3" t="s">
        <v>8</v>
      </c>
      <c r="E10" s="3" t="s">
        <v>17</v>
      </c>
      <c r="F10" s="3">
        <v>0</v>
      </c>
      <c r="G10" s="3">
        <v>1000</v>
      </c>
      <c r="H10" s="3">
        <v>3</v>
      </c>
      <c r="I10" s="3" t="s">
        <v>39</v>
      </c>
      <c r="J10" s="4"/>
      <c r="K10" s="5" t="b">
        <f t="shared" si="0"/>
        <v>1</v>
      </c>
    </row>
    <row r="11" spans="1:11" ht="15" thickBot="1" x14ac:dyDescent="0.35">
      <c r="A11" s="6" t="s">
        <v>21</v>
      </c>
      <c r="B11" s="3">
        <v>1</v>
      </c>
      <c r="C11" s="3" t="s">
        <v>32</v>
      </c>
      <c r="D11" s="3" t="s">
        <v>8</v>
      </c>
      <c r="E11" s="3" t="s">
        <v>17</v>
      </c>
      <c r="F11" s="3">
        <v>1</v>
      </c>
      <c r="G11" s="3">
        <v>3</v>
      </c>
      <c r="H11" s="3">
        <v>0</v>
      </c>
      <c r="I11" s="3" t="s">
        <v>41</v>
      </c>
      <c r="J11" s="4"/>
      <c r="K11" s="5" t="b">
        <f t="shared" si="0"/>
        <v>1</v>
      </c>
    </row>
    <row r="12" spans="1:11" ht="15" thickBot="1" x14ac:dyDescent="0.35">
      <c r="A12" s="6" t="s">
        <v>22</v>
      </c>
      <c r="B12" s="3">
        <v>1</v>
      </c>
      <c r="C12" s="3" t="s">
        <v>33</v>
      </c>
      <c r="D12" s="3" t="s">
        <v>8</v>
      </c>
      <c r="E12" s="3" t="s">
        <v>17</v>
      </c>
      <c r="F12" s="3">
        <v>1</v>
      </c>
      <c r="G12" s="3">
        <v>3</v>
      </c>
      <c r="H12" s="3">
        <v>0</v>
      </c>
      <c r="I12" s="3" t="s">
        <v>42</v>
      </c>
      <c r="J12" s="4"/>
      <c r="K12" s="5" t="b">
        <f t="shared" si="0"/>
        <v>1</v>
      </c>
    </row>
    <row r="13" spans="1:11" ht="15" thickBot="1" x14ac:dyDescent="0.35">
      <c r="A13" s="6" t="s">
        <v>23</v>
      </c>
      <c r="B13" s="3">
        <v>1</v>
      </c>
      <c r="C13" s="3" t="s">
        <v>34</v>
      </c>
      <c r="D13" s="3" t="s">
        <v>8</v>
      </c>
      <c r="E13" s="3" t="s">
        <v>17</v>
      </c>
      <c r="F13" s="3">
        <v>1</v>
      </c>
      <c r="G13" s="3">
        <v>3</v>
      </c>
      <c r="H13" s="3">
        <v>0</v>
      </c>
      <c r="I13" s="3" t="s">
        <v>43</v>
      </c>
      <c r="J13" s="5"/>
      <c r="K13" s="5" t="b">
        <f t="shared" si="0"/>
        <v>1</v>
      </c>
    </row>
    <row r="14" spans="1:11" ht="15" thickBot="1" x14ac:dyDescent="0.35">
      <c r="A14" s="6" t="s">
        <v>57</v>
      </c>
      <c r="B14" s="3">
        <v>0</v>
      </c>
      <c r="C14" s="3" t="s">
        <v>58</v>
      </c>
      <c r="D14" s="3" t="s">
        <v>8</v>
      </c>
      <c r="E14" s="3" t="s">
        <v>17</v>
      </c>
      <c r="F14" s="3">
        <v>0</v>
      </c>
      <c r="G14" s="3">
        <v>1</v>
      </c>
      <c r="H14" s="3">
        <v>0</v>
      </c>
      <c r="I14" s="3" t="s">
        <v>59</v>
      </c>
      <c r="J14" s="5"/>
      <c r="K14" s="5" t="b">
        <f t="shared" si="0"/>
        <v>1</v>
      </c>
    </row>
    <row r="15" spans="1:11" ht="15" thickBot="1" x14ac:dyDescent="0.35">
      <c r="A15" s="6" t="s">
        <v>60</v>
      </c>
      <c r="B15" s="3">
        <v>1</v>
      </c>
      <c r="C15" s="3" t="s">
        <v>61</v>
      </c>
      <c r="D15" s="3" t="s">
        <v>8</v>
      </c>
      <c r="E15" s="3" t="s">
        <v>17</v>
      </c>
      <c r="F15" s="3">
        <v>0</v>
      </c>
      <c r="G15" s="3">
        <v>1</v>
      </c>
      <c r="H15" s="3">
        <v>3</v>
      </c>
      <c r="I15" s="3" t="s">
        <v>61</v>
      </c>
      <c r="J15" s="5"/>
      <c r="K15" s="5" t="b">
        <f>TRIM(CLEAN(B15))&lt;&gt;TRIM(CLEAN(J15))</f>
        <v>1</v>
      </c>
    </row>
    <row r="16" spans="1:11" ht="15" thickBot="1" x14ac:dyDescent="0.35">
      <c r="A16" s="6" t="s">
        <v>69</v>
      </c>
      <c r="B16" s="3">
        <v>0.1</v>
      </c>
      <c r="C16" s="3" t="s">
        <v>71</v>
      </c>
      <c r="D16" s="3" t="s">
        <v>8</v>
      </c>
      <c r="E16" s="3" t="s">
        <v>17</v>
      </c>
      <c r="F16" s="3">
        <v>0</v>
      </c>
      <c r="G16" s="3">
        <v>1</v>
      </c>
      <c r="H16" s="3">
        <v>3</v>
      </c>
      <c r="I16" s="3" t="s">
        <v>71</v>
      </c>
      <c r="J16" s="4"/>
      <c r="K16" s="5" t="b">
        <f>TRIM(CLEAN(B16))&lt;&gt;TRIM(CLEAN(J16))</f>
        <v>1</v>
      </c>
    </row>
    <row r="17" spans="1:11" ht="15" thickBot="1" x14ac:dyDescent="0.35">
      <c r="A17" s="6" t="s">
        <v>70</v>
      </c>
      <c r="B17" s="3">
        <v>0.3</v>
      </c>
      <c r="C17" s="3" t="s">
        <v>72</v>
      </c>
      <c r="D17" s="3" t="s">
        <v>8</v>
      </c>
      <c r="E17" s="3" t="s">
        <v>17</v>
      </c>
      <c r="F17" s="3">
        <v>0</v>
      </c>
      <c r="G17" s="3">
        <v>1</v>
      </c>
      <c r="H17" s="3">
        <v>3</v>
      </c>
      <c r="I17" s="3" t="s">
        <v>72</v>
      </c>
      <c r="J17" s="4"/>
      <c r="K17" s="5" t="b">
        <f>TRIM(CLEAN(B17))&lt;&gt;TRIM(CLEAN(J17))</f>
        <v>1</v>
      </c>
    </row>
    <row r="18" spans="1:11" ht="29.4" thickBot="1" x14ac:dyDescent="0.35">
      <c r="A18" s="6" t="s">
        <v>62</v>
      </c>
      <c r="B18" s="3">
        <v>3</v>
      </c>
      <c r="C18" s="3" t="s">
        <v>63</v>
      </c>
      <c r="D18" s="3" t="s">
        <v>8</v>
      </c>
      <c r="E18" s="3" t="s">
        <v>64</v>
      </c>
      <c r="F18" s="3">
        <v>1</v>
      </c>
      <c r="G18" s="3">
        <v>16</v>
      </c>
      <c r="H18" s="3">
        <v>0</v>
      </c>
      <c r="I18" s="7" t="s">
        <v>73</v>
      </c>
      <c r="J18" s="5"/>
      <c r="K18" s="5" t="b">
        <f t="shared" ref="K18:K20" si="1">TRIM(CLEAN(B18))&lt;&gt;TRIM(CLEAN(J18))</f>
        <v>1</v>
      </c>
    </row>
    <row r="19" spans="1:11" ht="15" thickBot="1" x14ac:dyDescent="0.35">
      <c r="A19" s="6" t="s">
        <v>65</v>
      </c>
      <c r="B19" s="3">
        <v>0</v>
      </c>
      <c r="C19" s="3" t="s">
        <v>66</v>
      </c>
      <c r="D19" s="3" t="s">
        <v>8</v>
      </c>
      <c r="E19" s="3" t="s">
        <v>64</v>
      </c>
      <c r="F19" s="3">
        <v>0</v>
      </c>
      <c r="G19" s="3">
        <v>1</v>
      </c>
      <c r="H19" s="3">
        <v>0</v>
      </c>
      <c r="I19" s="3" t="s">
        <v>67</v>
      </c>
      <c r="J19" s="5"/>
      <c r="K19" s="5" t="b">
        <f t="shared" si="1"/>
        <v>1</v>
      </c>
    </row>
    <row r="20" spans="1:11" ht="29.4" thickBot="1" x14ac:dyDescent="0.35">
      <c r="A20" s="6" t="s">
        <v>74</v>
      </c>
      <c r="B20" s="3">
        <v>0</v>
      </c>
      <c r="C20" s="3" t="s">
        <v>75</v>
      </c>
      <c r="D20" s="3" t="s">
        <v>76</v>
      </c>
      <c r="E20" s="3" t="s">
        <v>64</v>
      </c>
      <c r="F20" s="3">
        <v>-1</v>
      </c>
      <c r="G20" s="3">
        <v>1</v>
      </c>
      <c r="H20" s="3">
        <v>3</v>
      </c>
      <c r="I20" s="7" t="s">
        <v>77</v>
      </c>
      <c r="J20" s="5"/>
      <c r="K20" s="5" t="b">
        <f t="shared" si="1"/>
        <v>1</v>
      </c>
    </row>
    <row r="21" spans="1:11" ht="15" thickBot="1" x14ac:dyDescent="0.35">
      <c r="A21" s="6" t="s">
        <v>47</v>
      </c>
      <c r="B21" s="3">
        <v>0</v>
      </c>
      <c r="C21" s="3" t="s">
        <v>50</v>
      </c>
      <c r="D21" s="3" t="s">
        <v>8</v>
      </c>
      <c r="E21" s="3" t="s">
        <v>53</v>
      </c>
      <c r="F21" s="3">
        <v>0</v>
      </c>
      <c r="G21" s="3">
        <v>1</v>
      </c>
      <c r="H21" s="3">
        <v>0</v>
      </c>
      <c r="I21" s="3" t="s">
        <v>54</v>
      </c>
      <c r="J21" s="5"/>
      <c r="K21" s="5" t="b">
        <f>TRIM(CLEAN(B21))&lt;&gt;TRIM(CLEAN(J21))</f>
        <v>1</v>
      </c>
    </row>
    <row r="22" spans="1:11" ht="15" thickBot="1" x14ac:dyDescent="0.35">
      <c r="A22" s="6" t="s">
        <v>48</v>
      </c>
      <c r="B22" s="3">
        <v>0</v>
      </c>
      <c r="C22" s="3" t="s">
        <v>51</v>
      </c>
      <c r="D22" s="3" t="s">
        <v>8</v>
      </c>
      <c r="E22" s="3" t="s">
        <v>53</v>
      </c>
      <c r="F22" s="3">
        <v>0</v>
      </c>
      <c r="G22" s="3">
        <v>16</v>
      </c>
      <c r="H22" s="3">
        <v>0</v>
      </c>
      <c r="I22" s="3" t="s">
        <v>55</v>
      </c>
      <c r="J22" s="5"/>
      <c r="K22" s="5" t="b">
        <f>TRIM(CLEAN(B22))&lt;&gt;TRIM(CLEAN(J22))</f>
        <v>1</v>
      </c>
    </row>
    <row r="23" spans="1:11" ht="15" thickBot="1" x14ac:dyDescent="0.35">
      <c r="A23" s="6" t="s">
        <v>49</v>
      </c>
      <c r="B23" s="3">
        <v>0</v>
      </c>
      <c r="C23" s="3" t="s">
        <v>52</v>
      </c>
      <c r="D23" s="3" t="s">
        <v>8</v>
      </c>
      <c r="E23" s="3" t="s">
        <v>53</v>
      </c>
      <c r="F23" s="3">
        <v>0</v>
      </c>
      <c r="G23" s="3">
        <v>1</v>
      </c>
      <c r="H23" s="3">
        <v>3</v>
      </c>
      <c r="I23" s="3" t="s">
        <v>56</v>
      </c>
      <c r="J23" s="5"/>
      <c r="K23" s="5" t="b">
        <f>TRIM(CLEAN(B23))&lt;&gt;TRIM(CLEAN(J23))</f>
        <v>1</v>
      </c>
    </row>
    <row r="29" spans="1:11" x14ac:dyDescent="0.3">
      <c r="J29" s="1"/>
      <c r="K29" s="1"/>
    </row>
    <row r="30" spans="1:11" x14ac:dyDescent="0.3">
      <c r="J30" s="1"/>
      <c r="K30" s="1"/>
    </row>
    <row r="31" spans="1:11" x14ac:dyDescent="0.3">
      <c r="J31" s="1"/>
      <c r="K31" s="1"/>
    </row>
    <row r="32" spans="1:11" x14ac:dyDescent="0.3">
      <c r="J32" s="1"/>
      <c r="K32" s="1"/>
    </row>
    <row r="33" spans="10:11" x14ac:dyDescent="0.3">
      <c r="J33" s="1"/>
      <c r="K33" s="1"/>
    </row>
    <row r="34" spans="10:11" x14ac:dyDescent="0.3">
      <c r="J34" s="1"/>
      <c r="K34" s="1"/>
    </row>
    <row r="35" spans="10:11" x14ac:dyDescent="0.3">
      <c r="J35" s="1"/>
      <c r="K35" s="1"/>
    </row>
    <row r="36" spans="10:11" x14ac:dyDescent="0.3">
      <c r="J36" s="1"/>
      <c r="K36" s="1"/>
    </row>
    <row r="37" spans="10:11" x14ac:dyDescent="0.3">
      <c r="J37" s="1"/>
      <c r="K37" s="1"/>
    </row>
    <row r="38" spans="10:11" x14ac:dyDescent="0.3">
      <c r="J38" s="1"/>
      <c r="K38" s="1"/>
    </row>
    <row r="39" spans="10:11" x14ac:dyDescent="0.3">
      <c r="J39" s="1"/>
      <c r="K39" s="1"/>
    </row>
    <row r="40" spans="10:11" x14ac:dyDescent="0.3">
      <c r="J40" s="1"/>
      <c r="K40" s="1"/>
    </row>
    <row r="41" spans="10:11" x14ac:dyDescent="0.3">
      <c r="J41" s="1"/>
      <c r="K41" s="1"/>
    </row>
    <row r="42" spans="10:11" x14ac:dyDescent="0.3">
      <c r="J42" s="1"/>
      <c r="K42" s="1"/>
    </row>
    <row r="43" spans="10:11" x14ac:dyDescent="0.3">
      <c r="J43" s="1"/>
      <c r="K43" s="1"/>
    </row>
    <row r="44" spans="10:11" x14ac:dyDescent="0.3">
      <c r="J44" s="1"/>
      <c r="K44" s="1"/>
    </row>
    <row r="45" spans="10:11" x14ac:dyDescent="0.3">
      <c r="J45" s="1"/>
      <c r="K45" s="1"/>
    </row>
    <row r="46" spans="10:11" x14ac:dyDescent="0.3">
      <c r="J46" s="1"/>
      <c r="K46" s="1"/>
    </row>
    <row r="47" spans="10:11" x14ac:dyDescent="0.3">
      <c r="J47" s="1"/>
      <c r="K47" s="1"/>
    </row>
    <row r="48" spans="10:11" x14ac:dyDescent="0.3">
      <c r="J48" s="1"/>
      <c r="K48" s="1"/>
    </row>
    <row r="49" spans="10:11" x14ac:dyDescent="0.3">
      <c r="J49" s="1"/>
      <c r="K49" s="1"/>
    </row>
    <row r="50" spans="10:11" x14ac:dyDescent="0.3">
      <c r="J50" s="1"/>
      <c r="K50" s="1"/>
    </row>
    <row r="51" spans="10:11" x14ac:dyDescent="0.3">
      <c r="J51" s="1"/>
      <c r="K51" s="1"/>
    </row>
    <row r="52" spans="10:11" x14ac:dyDescent="0.3">
      <c r="J52" s="1"/>
      <c r="K52" s="1"/>
    </row>
    <row r="53" spans="10:11" x14ac:dyDescent="0.3">
      <c r="J53" s="1"/>
      <c r="K53" s="1"/>
    </row>
    <row r="54" spans="10:11" x14ac:dyDescent="0.3">
      <c r="J54" s="1"/>
      <c r="K54" s="1"/>
    </row>
    <row r="55" spans="10:11" x14ac:dyDescent="0.3">
      <c r="J55" s="1"/>
      <c r="K55" s="1"/>
    </row>
    <row r="56" spans="10:11" x14ac:dyDescent="0.3">
      <c r="J56" s="1"/>
      <c r="K56" s="1"/>
    </row>
    <row r="57" spans="10:11" x14ac:dyDescent="0.3">
      <c r="J57" s="1"/>
      <c r="K57" s="1"/>
    </row>
    <row r="58" spans="10:11" x14ac:dyDescent="0.3">
      <c r="J58" s="1"/>
      <c r="K58" s="1"/>
    </row>
    <row r="59" spans="10:11" x14ac:dyDescent="0.3">
      <c r="J59" s="1"/>
      <c r="K59" s="1"/>
    </row>
    <row r="60" spans="10:11" x14ac:dyDescent="0.3">
      <c r="J60" s="1"/>
      <c r="K60" s="1"/>
    </row>
    <row r="61" spans="10:11" x14ac:dyDescent="0.3">
      <c r="J61" s="1"/>
      <c r="K61" s="1"/>
    </row>
    <row r="62" spans="10:11" x14ac:dyDescent="0.3">
      <c r="J62" s="1"/>
      <c r="K62" s="1"/>
    </row>
    <row r="63" spans="10:11" x14ac:dyDescent="0.3">
      <c r="J63" s="1"/>
      <c r="K63" s="1"/>
    </row>
    <row r="64" spans="10:11" x14ac:dyDescent="0.3">
      <c r="J64" s="1"/>
      <c r="K64" s="1"/>
    </row>
    <row r="65" spans="10:11" x14ac:dyDescent="0.3">
      <c r="J65" s="1"/>
      <c r="K65" s="1"/>
    </row>
    <row r="66" spans="10:11" x14ac:dyDescent="0.3">
      <c r="J66" s="1"/>
      <c r="K66" s="1"/>
    </row>
    <row r="67" spans="10:11" x14ac:dyDescent="0.3">
      <c r="J67" s="1"/>
      <c r="K67" s="1"/>
    </row>
    <row r="68" spans="10:11" x14ac:dyDescent="0.3">
      <c r="J68" s="1"/>
      <c r="K68" s="1"/>
    </row>
    <row r="69" spans="10:11" x14ac:dyDescent="0.3">
      <c r="J69" s="1"/>
      <c r="K69" s="1"/>
    </row>
    <row r="70" spans="10:11" x14ac:dyDescent="0.3">
      <c r="J70" s="1"/>
      <c r="K70" s="1"/>
    </row>
    <row r="71" spans="10:11" x14ac:dyDescent="0.3">
      <c r="J71" s="1"/>
      <c r="K71" s="1"/>
    </row>
    <row r="72" spans="10:11" x14ac:dyDescent="0.3">
      <c r="J72" s="1"/>
      <c r="K72" s="1"/>
    </row>
    <row r="73" spans="10:11" x14ac:dyDescent="0.3">
      <c r="J73" s="1"/>
      <c r="K73" s="1"/>
    </row>
    <row r="74" spans="10:11" x14ac:dyDescent="0.3">
      <c r="J74" s="1"/>
      <c r="K74" s="1"/>
    </row>
    <row r="75" spans="10:11" x14ac:dyDescent="0.3">
      <c r="J75" s="1"/>
      <c r="K75" s="1"/>
    </row>
    <row r="76" spans="10:11" x14ac:dyDescent="0.3">
      <c r="J76" s="1"/>
      <c r="K76" s="1"/>
    </row>
    <row r="77" spans="10:11" x14ac:dyDescent="0.3">
      <c r="J77" s="1"/>
      <c r="K77" s="1"/>
    </row>
    <row r="78" spans="10:11" x14ac:dyDescent="0.3">
      <c r="J78" s="1"/>
      <c r="K78" s="1"/>
    </row>
    <row r="79" spans="10:11" x14ac:dyDescent="0.3">
      <c r="J79" s="1"/>
      <c r="K79" s="1"/>
    </row>
    <row r="80" spans="10:11" x14ac:dyDescent="0.3">
      <c r="J80" s="1"/>
      <c r="K80" s="1"/>
    </row>
    <row r="81" spans="10:11" x14ac:dyDescent="0.3">
      <c r="J81" s="1"/>
      <c r="K81" s="1"/>
    </row>
    <row r="82" spans="10:11" x14ac:dyDescent="0.3">
      <c r="J82" s="1"/>
      <c r="K82" s="1"/>
    </row>
    <row r="83" spans="10:11" x14ac:dyDescent="0.3">
      <c r="J83" s="1"/>
      <c r="K83" s="1"/>
    </row>
    <row r="84" spans="10:11" x14ac:dyDescent="0.3">
      <c r="J84" s="1"/>
      <c r="K84" s="1"/>
    </row>
    <row r="85" spans="10:11" x14ac:dyDescent="0.3">
      <c r="J85" s="1"/>
      <c r="K85" s="1"/>
    </row>
    <row r="86" spans="10:11" x14ac:dyDescent="0.3">
      <c r="J86" s="1"/>
      <c r="K86" s="1"/>
    </row>
    <row r="87" spans="10:11" x14ac:dyDescent="0.3">
      <c r="J87" s="1"/>
      <c r="K87" s="1"/>
    </row>
    <row r="88" spans="10:11" x14ac:dyDescent="0.3">
      <c r="J88" s="1"/>
      <c r="K88" s="1"/>
    </row>
    <row r="89" spans="10:11" x14ac:dyDescent="0.3">
      <c r="J89" s="1"/>
      <c r="K89" s="1"/>
    </row>
    <row r="90" spans="10:11" x14ac:dyDescent="0.3">
      <c r="J90" s="1"/>
      <c r="K90" s="1"/>
    </row>
    <row r="91" spans="10:11" x14ac:dyDescent="0.3">
      <c r="J91" s="1"/>
      <c r="K91" s="1"/>
    </row>
    <row r="92" spans="10:11" x14ac:dyDescent="0.3">
      <c r="J92" s="1"/>
      <c r="K92" s="1"/>
    </row>
    <row r="93" spans="10:11" x14ac:dyDescent="0.3">
      <c r="J93" s="1"/>
      <c r="K93" s="1"/>
    </row>
    <row r="94" spans="10:11" x14ac:dyDescent="0.3">
      <c r="J94" s="1"/>
      <c r="K94" s="1"/>
    </row>
    <row r="95" spans="10:11" x14ac:dyDescent="0.3">
      <c r="J95" s="1"/>
      <c r="K95" s="1"/>
    </row>
    <row r="96" spans="10:11" x14ac:dyDescent="0.3">
      <c r="J96" s="1"/>
      <c r="K96" s="1"/>
    </row>
    <row r="97" spans="10:11" x14ac:dyDescent="0.3">
      <c r="J97" s="1"/>
      <c r="K97" s="1"/>
    </row>
    <row r="98" spans="10:11" x14ac:dyDescent="0.3">
      <c r="J98" s="1"/>
      <c r="K98" s="1"/>
    </row>
    <row r="99" spans="10:11" x14ac:dyDescent="0.3">
      <c r="J99" s="1"/>
      <c r="K99" s="1"/>
    </row>
    <row r="100" spans="10:11" x14ac:dyDescent="0.3">
      <c r="J100" s="1"/>
      <c r="K100" s="1"/>
    </row>
    <row r="101" spans="10:11" x14ac:dyDescent="0.3">
      <c r="J101" s="1"/>
      <c r="K101" s="1"/>
    </row>
    <row r="102" spans="10:11" x14ac:dyDescent="0.3">
      <c r="J102" s="1"/>
      <c r="K102" s="1"/>
    </row>
    <row r="103" spans="10:11" x14ac:dyDescent="0.3">
      <c r="J103" s="1"/>
      <c r="K103" s="1"/>
    </row>
    <row r="104" spans="10:11" x14ac:dyDescent="0.3">
      <c r="J104" s="1"/>
      <c r="K104" s="1"/>
    </row>
    <row r="105" spans="10:11" x14ac:dyDescent="0.3">
      <c r="J105" s="1"/>
      <c r="K105" s="1"/>
    </row>
    <row r="106" spans="10:11" x14ac:dyDescent="0.3">
      <c r="J106" s="1"/>
      <c r="K106" s="1"/>
    </row>
    <row r="107" spans="10:11" x14ac:dyDescent="0.3">
      <c r="J107" s="1"/>
      <c r="K107" s="1"/>
    </row>
    <row r="108" spans="10:11" x14ac:dyDescent="0.3">
      <c r="J108" s="1"/>
      <c r="K108" s="1"/>
    </row>
    <row r="109" spans="10:11" x14ac:dyDescent="0.3">
      <c r="J109" s="1"/>
      <c r="K109" s="1"/>
    </row>
    <row r="110" spans="10:11" x14ac:dyDescent="0.3">
      <c r="J110" s="1"/>
      <c r="K110" s="1"/>
    </row>
    <row r="111" spans="10:11" x14ac:dyDescent="0.3">
      <c r="J111" s="1"/>
      <c r="K111" s="1"/>
    </row>
    <row r="112" spans="10:11" x14ac:dyDescent="0.3">
      <c r="J112" s="1"/>
      <c r="K112" s="1"/>
    </row>
    <row r="113" spans="10:11" x14ac:dyDescent="0.3">
      <c r="J113" s="1"/>
      <c r="K113" s="1"/>
    </row>
    <row r="114" spans="10:11" x14ac:dyDescent="0.3">
      <c r="J114" s="1"/>
      <c r="K114" s="1"/>
    </row>
    <row r="115" spans="10:11" x14ac:dyDescent="0.3">
      <c r="J115" s="1"/>
      <c r="K115" s="1"/>
    </row>
    <row r="116" spans="10:11" x14ac:dyDescent="0.3">
      <c r="J116" s="1"/>
      <c r="K116" s="1"/>
    </row>
    <row r="117" spans="10:11" x14ac:dyDescent="0.3">
      <c r="J117" s="1"/>
      <c r="K117" s="1"/>
    </row>
    <row r="118" spans="10:11" x14ac:dyDescent="0.3">
      <c r="J118" s="1"/>
      <c r="K118" s="1"/>
    </row>
    <row r="119" spans="10:11" x14ac:dyDescent="0.3">
      <c r="J119" s="1"/>
      <c r="K119" s="1"/>
    </row>
    <row r="120" spans="10:11" x14ac:dyDescent="0.3">
      <c r="J120" s="1"/>
      <c r="K120" s="1"/>
    </row>
    <row r="121" spans="10:11" x14ac:dyDescent="0.3">
      <c r="J121" s="1"/>
      <c r="K121" s="1"/>
    </row>
    <row r="122" spans="10:11" x14ac:dyDescent="0.3">
      <c r="J122" s="1"/>
      <c r="K122" s="1"/>
    </row>
    <row r="123" spans="10:11" x14ac:dyDescent="0.3">
      <c r="J123" s="1"/>
      <c r="K123" s="1"/>
    </row>
    <row r="124" spans="10:11" x14ac:dyDescent="0.3">
      <c r="J124" s="1"/>
      <c r="K124" s="1"/>
    </row>
    <row r="125" spans="10:11" x14ac:dyDescent="0.3">
      <c r="J125" s="1"/>
      <c r="K125" s="1"/>
    </row>
    <row r="126" spans="10:11" x14ac:dyDescent="0.3">
      <c r="J126" s="1"/>
      <c r="K126" s="1"/>
    </row>
    <row r="127" spans="10:11" x14ac:dyDescent="0.3">
      <c r="J127" s="1"/>
      <c r="K127" s="1"/>
    </row>
    <row r="128" spans="10:11" x14ac:dyDescent="0.3">
      <c r="J128" s="1"/>
      <c r="K128" s="1"/>
    </row>
    <row r="129" spans="10:11" x14ac:dyDescent="0.3">
      <c r="J129" s="1"/>
      <c r="K129" s="1"/>
    </row>
    <row r="130" spans="10:11" x14ac:dyDescent="0.3">
      <c r="J130" s="1"/>
      <c r="K130" s="1"/>
    </row>
    <row r="131" spans="10:11" x14ac:dyDescent="0.3">
      <c r="J131" s="1"/>
      <c r="K131" s="1"/>
    </row>
    <row r="132" spans="10:11" x14ac:dyDescent="0.3">
      <c r="J132" s="1"/>
      <c r="K132" s="1"/>
    </row>
    <row r="133" spans="10:11" x14ac:dyDescent="0.3">
      <c r="J133" s="1"/>
      <c r="K133" s="1"/>
    </row>
    <row r="134" spans="10:11" x14ac:dyDescent="0.3">
      <c r="J134" s="1"/>
      <c r="K134" s="1"/>
    </row>
    <row r="135" spans="10:11" x14ac:dyDescent="0.3">
      <c r="J135" s="1"/>
      <c r="K135" s="1"/>
    </row>
    <row r="136" spans="10:11" x14ac:dyDescent="0.3">
      <c r="J136" s="1"/>
      <c r="K136" s="1"/>
    </row>
    <row r="137" spans="10:11" x14ac:dyDescent="0.3">
      <c r="J137" s="1"/>
      <c r="K137" s="1"/>
    </row>
    <row r="138" spans="10:11" x14ac:dyDescent="0.3">
      <c r="J138" s="1"/>
      <c r="K138" s="1"/>
    </row>
    <row r="139" spans="10:11" x14ac:dyDescent="0.3">
      <c r="J139" s="1"/>
      <c r="K139" s="1"/>
    </row>
    <row r="140" spans="10:11" x14ac:dyDescent="0.3">
      <c r="J140" s="1"/>
      <c r="K140" s="1"/>
    </row>
    <row r="141" spans="10:11" x14ac:dyDescent="0.3">
      <c r="J141" s="1"/>
      <c r="K141" s="1"/>
    </row>
    <row r="142" spans="10:11" x14ac:dyDescent="0.3">
      <c r="J142" s="1"/>
      <c r="K142" s="1"/>
    </row>
    <row r="143" spans="10:11" x14ac:dyDescent="0.3">
      <c r="J143" s="1"/>
      <c r="K143" s="1"/>
    </row>
    <row r="144" spans="10:11" x14ac:dyDescent="0.3">
      <c r="J144" s="1"/>
      <c r="K144" s="1"/>
    </row>
    <row r="145" spans="10:11" x14ac:dyDescent="0.3">
      <c r="J145" s="1"/>
      <c r="K145" s="1"/>
    </row>
    <row r="146" spans="10:11" x14ac:dyDescent="0.3">
      <c r="J146" s="1"/>
      <c r="K146" s="1"/>
    </row>
    <row r="147" spans="10:11" x14ac:dyDescent="0.3">
      <c r="J147" s="1"/>
      <c r="K147" s="1"/>
    </row>
    <row r="148" spans="10:11" x14ac:dyDescent="0.3">
      <c r="J148" s="1"/>
      <c r="K148" s="1"/>
    </row>
    <row r="149" spans="10:11" x14ac:dyDescent="0.3">
      <c r="J149" s="1"/>
      <c r="K149" s="1"/>
    </row>
    <row r="150" spans="10:11" x14ac:dyDescent="0.3">
      <c r="J150" s="1"/>
      <c r="K150" s="1"/>
    </row>
    <row r="151" spans="10:11" x14ac:dyDescent="0.3">
      <c r="J151" s="1"/>
      <c r="K151" s="1"/>
    </row>
    <row r="152" spans="10:11" x14ac:dyDescent="0.3">
      <c r="J152" s="1"/>
      <c r="K152" s="1"/>
    </row>
    <row r="153" spans="10:11" x14ac:dyDescent="0.3">
      <c r="J153" s="1"/>
      <c r="K153" s="1"/>
    </row>
    <row r="154" spans="10:11" x14ac:dyDescent="0.3">
      <c r="J154" s="1"/>
      <c r="K154" s="1"/>
    </row>
    <row r="155" spans="10:11" x14ac:dyDescent="0.3">
      <c r="J155" s="1"/>
      <c r="K155" s="1"/>
    </row>
    <row r="156" spans="10:11" x14ac:dyDescent="0.3">
      <c r="J156" s="1"/>
      <c r="K156" s="1"/>
    </row>
    <row r="157" spans="10:11" x14ac:dyDescent="0.3">
      <c r="J157" s="1"/>
      <c r="K157" s="1"/>
    </row>
    <row r="158" spans="10:11" x14ac:dyDescent="0.3">
      <c r="J158" s="1"/>
      <c r="K158" s="1"/>
    </row>
    <row r="159" spans="10:11" x14ac:dyDescent="0.3">
      <c r="J159" s="1"/>
      <c r="K159" s="1"/>
    </row>
    <row r="160" spans="10:11" x14ac:dyDescent="0.3">
      <c r="J160" s="1"/>
      <c r="K160" s="1"/>
    </row>
    <row r="161" spans="10:11" x14ac:dyDescent="0.3">
      <c r="J161" s="1"/>
      <c r="K161" s="1"/>
    </row>
    <row r="162" spans="10:11" x14ac:dyDescent="0.3">
      <c r="J162" s="1"/>
      <c r="K162" s="1"/>
    </row>
    <row r="163" spans="10:11" x14ac:dyDescent="0.3">
      <c r="J163" s="1"/>
      <c r="K163" s="1"/>
    </row>
    <row r="164" spans="10:11" x14ac:dyDescent="0.3">
      <c r="J164" s="1"/>
      <c r="K164" s="1"/>
    </row>
    <row r="165" spans="10:11" x14ac:dyDescent="0.3">
      <c r="J165" s="1"/>
      <c r="K165" s="1"/>
    </row>
    <row r="166" spans="10:11" x14ac:dyDescent="0.3">
      <c r="J166" s="1"/>
      <c r="K166" s="1"/>
    </row>
    <row r="167" spans="10:11" x14ac:dyDescent="0.3">
      <c r="J167" s="1"/>
      <c r="K167" s="1"/>
    </row>
    <row r="168" spans="10:11" x14ac:dyDescent="0.3">
      <c r="J168" s="1"/>
      <c r="K168" s="1"/>
    </row>
    <row r="169" spans="10:11" x14ac:dyDescent="0.3">
      <c r="J169" s="1"/>
      <c r="K169" s="1"/>
    </row>
    <row r="170" spans="10:11" x14ac:dyDescent="0.3">
      <c r="J170" s="1"/>
      <c r="K170" s="1"/>
    </row>
    <row r="171" spans="10:11" x14ac:dyDescent="0.3">
      <c r="J171" s="1"/>
      <c r="K171" s="1"/>
    </row>
    <row r="172" spans="10:11" x14ac:dyDescent="0.3">
      <c r="J172" s="1"/>
      <c r="K172" s="1"/>
    </row>
    <row r="173" spans="10:11" x14ac:dyDescent="0.3">
      <c r="J173" s="1"/>
      <c r="K173" s="1"/>
    </row>
    <row r="174" spans="10:11" x14ac:dyDescent="0.3">
      <c r="J174" s="1"/>
      <c r="K174" s="1"/>
    </row>
    <row r="175" spans="10:11" x14ac:dyDescent="0.3">
      <c r="J175" s="1"/>
      <c r="K175" s="1"/>
    </row>
    <row r="176" spans="10:11" x14ac:dyDescent="0.3">
      <c r="J176" s="1"/>
      <c r="K176" s="1"/>
    </row>
    <row r="177" spans="10:11" x14ac:dyDescent="0.3">
      <c r="J177" s="1"/>
      <c r="K177" s="1"/>
    </row>
    <row r="178" spans="10:11" x14ac:dyDescent="0.3">
      <c r="J178" s="1"/>
      <c r="K178" s="1"/>
    </row>
    <row r="179" spans="10:11" x14ac:dyDescent="0.3">
      <c r="J179" s="1"/>
      <c r="K179" s="1"/>
    </row>
    <row r="180" spans="10:11" x14ac:dyDescent="0.3">
      <c r="J180" s="1"/>
      <c r="K180" s="1"/>
    </row>
    <row r="181" spans="10:11" x14ac:dyDescent="0.3">
      <c r="J181" s="1"/>
      <c r="K181" s="1"/>
    </row>
    <row r="182" spans="10:11" x14ac:dyDescent="0.3">
      <c r="J182" s="1"/>
      <c r="K182" s="1"/>
    </row>
    <row r="183" spans="10:11" x14ac:dyDescent="0.3">
      <c r="J183" s="1"/>
      <c r="K183" s="1"/>
    </row>
    <row r="184" spans="10:11" x14ac:dyDescent="0.3">
      <c r="J184" s="1"/>
      <c r="K184" s="1"/>
    </row>
    <row r="185" spans="10:11" x14ac:dyDescent="0.3">
      <c r="J185" s="1"/>
      <c r="K185" s="1"/>
    </row>
    <row r="186" spans="10:11" x14ac:dyDescent="0.3">
      <c r="J186" s="1"/>
      <c r="K186" s="1"/>
    </row>
    <row r="187" spans="10:11" x14ac:dyDescent="0.3">
      <c r="J187" s="1"/>
      <c r="K187" s="1"/>
    </row>
    <row r="188" spans="10:11" x14ac:dyDescent="0.3">
      <c r="J188" s="1"/>
      <c r="K188" s="1"/>
    </row>
    <row r="189" spans="10:11" x14ac:dyDescent="0.3">
      <c r="J189" s="1"/>
      <c r="K189" s="1"/>
    </row>
    <row r="190" spans="10:11" x14ac:dyDescent="0.3">
      <c r="J190" s="1"/>
      <c r="K190" s="1"/>
    </row>
    <row r="191" spans="10:11" x14ac:dyDescent="0.3">
      <c r="J191" s="1"/>
      <c r="K191" s="1"/>
    </row>
    <row r="192" spans="10:11" x14ac:dyDescent="0.3">
      <c r="J192" s="1"/>
      <c r="K192" s="1"/>
    </row>
    <row r="193" spans="10:11" x14ac:dyDescent="0.3">
      <c r="J193" s="1"/>
      <c r="K193" s="1"/>
    </row>
    <row r="194" spans="10:11" x14ac:dyDescent="0.3">
      <c r="J194" s="1"/>
      <c r="K194" s="1"/>
    </row>
    <row r="195" spans="10:11" x14ac:dyDescent="0.3">
      <c r="J195" s="1"/>
      <c r="K195" s="1"/>
    </row>
    <row r="196" spans="10:11" x14ac:dyDescent="0.3">
      <c r="J196" s="1"/>
      <c r="K196" s="1"/>
    </row>
    <row r="197" spans="10:11" x14ac:dyDescent="0.3">
      <c r="J197" s="1"/>
      <c r="K197" s="1"/>
    </row>
    <row r="198" spans="10:11" x14ac:dyDescent="0.3">
      <c r="J198" s="1"/>
      <c r="K198" s="1"/>
    </row>
    <row r="199" spans="10:11" x14ac:dyDescent="0.3">
      <c r="J199" s="1"/>
      <c r="K199" s="1"/>
    </row>
    <row r="200" spans="10:11" x14ac:dyDescent="0.3">
      <c r="J200" s="1"/>
      <c r="K200" s="1"/>
    </row>
    <row r="201" spans="10:11" x14ac:dyDescent="0.3">
      <c r="J201" s="1"/>
      <c r="K201" s="1"/>
    </row>
    <row r="202" spans="10:11" x14ac:dyDescent="0.3">
      <c r="J202" s="1"/>
      <c r="K202" s="1"/>
    </row>
    <row r="203" spans="10:11" x14ac:dyDescent="0.3">
      <c r="J203" s="1"/>
      <c r="K203" s="1"/>
    </row>
    <row r="204" spans="10:11" x14ac:dyDescent="0.3">
      <c r="J204" s="1"/>
      <c r="K204" s="1"/>
    </row>
    <row r="205" spans="10:11" x14ac:dyDescent="0.3">
      <c r="J205" s="1"/>
      <c r="K205" s="1"/>
    </row>
    <row r="206" spans="10:11" x14ac:dyDescent="0.3">
      <c r="J206" s="1"/>
      <c r="K206" s="1"/>
    </row>
    <row r="207" spans="10:11" x14ac:dyDescent="0.3">
      <c r="J207" s="1"/>
      <c r="K207" s="1"/>
    </row>
    <row r="208" spans="10:11" x14ac:dyDescent="0.3">
      <c r="J208" s="1"/>
      <c r="K208" s="1"/>
    </row>
    <row r="209" spans="10:11" x14ac:dyDescent="0.3">
      <c r="J209" s="1"/>
      <c r="K209" s="1"/>
    </row>
    <row r="210" spans="10:11" x14ac:dyDescent="0.3">
      <c r="J210" s="1"/>
      <c r="K210" s="1"/>
    </row>
    <row r="211" spans="10:11" x14ac:dyDescent="0.3">
      <c r="J211" s="1"/>
      <c r="K211" s="1"/>
    </row>
    <row r="212" spans="10:11" x14ac:dyDescent="0.3">
      <c r="J212" s="1"/>
      <c r="K212" s="1"/>
    </row>
    <row r="213" spans="10:11" x14ac:dyDescent="0.3">
      <c r="J213" s="1"/>
      <c r="K213" s="1"/>
    </row>
    <row r="214" spans="10:11" x14ac:dyDescent="0.3">
      <c r="J214" s="1"/>
      <c r="K214" s="1"/>
    </row>
    <row r="215" spans="10:11" x14ac:dyDescent="0.3">
      <c r="J215" s="1"/>
      <c r="K215" s="1"/>
    </row>
    <row r="216" spans="10:11" x14ac:dyDescent="0.3">
      <c r="J216" s="1"/>
      <c r="K216" s="1"/>
    </row>
    <row r="217" spans="10:11" x14ac:dyDescent="0.3">
      <c r="J217" s="1"/>
      <c r="K217" s="1"/>
    </row>
    <row r="218" spans="10:11" x14ac:dyDescent="0.3">
      <c r="J218" s="1"/>
      <c r="K218" s="1"/>
    </row>
    <row r="219" spans="10:11" x14ac:dyDescent="0.3">
      <c r="J219" s="1"/>
      <c r="K219" s="1"/>
    </row>
    <row r="220" spans="10:11" x14ac:dyDescent="0.3">
      <c r="J220" s="1"/>
      <c r="K220" s="1"/>
    </row>
    <row r="221" spans="10:11" x14ac:dyDescent="0.3">
      <c r="J221" s="1"/>
      <c r="K221" s="1"/>
    </row>
    <row r="222" spans="10:11" x14ac:dyDescent="0.3">
      <c r="J222" s="1"/>
      <c r="K222" s="1"/>
    </row>
    <row r="223" spans="10:11" x14ac:dyDescent="0.3">
      <c r="J223" s="1"/>
      <c r="K223" s="1"/>
    </row>
    <row r="224" spans="10:11" x14ac:dyDescent="0.3">
      <c r="J224" s="1"/>
      <c r="K224" s="1"/>
    </row>
    <row r="225" spans="10:11" x14ac:dyDescent="0.3">
      <c r="J225" s="1"/>
      <c r="K225" s="1"/>
    </row>
    <row r="226" spans="10:11" x14ac:dyDescent="0.3">
      <c r="J226" s="1"/>
      <c r="K226" s="1"/>
    </row>
    <row r="227" spans="10:11" x14ac:dyDescent="0.3">
      <c r="J227" s="1"/>
      <c r="K227" s="1"/>
    </row>
    <row r="228" spans="10:11" x14ac:dyDescent="0.3">
      <c r="J228" s="1"/>
      <c r="K228" s="1"/>
    </row>
    <row r="229" spans="10:11" x14ac:dyDescent="0.3">
      <c r="J229" s="1"/>
      <c r="K229" s="1"/>
    </row>
    <row r="230" spans="10:11" x14ac:dyDescent="0.3">
      <c r="J230" s="1"/>
      <c r="K230" s="1"/>
    </row>
    <row r="231" spans="10:11" x14ac:dyDescent="0.3">
      <c r="J231" s="1"/>
      <c r="K231" s="1"/>
    </row>
    <row r="232" spans="10:11" x14ac:dyDescent="0.3">
      <c r="J232" s="1"/>
      <c r="K232" s="1"/>
    </row>
    <row r="233" spans="10:11" x14ac:dyDescent="0.3">
      <c r="J233" s="1"/>
      <c r="K233" s="1"/>
    </row>
    <row r="234" spans="10:11" x14ac:dyDescent="0.3">
      <c r="J234" s="1"/>
      <c r="K234" s="1"/>
    </row>
    <row r="235" spans="10:11" x14ac:dyDescent="0.3">
      <c r="J235" s="1"/>
      <c r="K235" s="1"/>
    </row>
    <row r="236" spans="10:11" x14ac:dyDescent="0.3">
      <c r="J236" s="1"/>
      <c r="K236" s="1"/>
    </row>
    <row r="237" spans="10:11" x14ac:dyDescent="0.3">
      <c r="J237" s="1"/>
      <c r="K237" s="1"/>
    </row>
    <row r="238" spans="10:11" x14ac:dyDescent="0.3">
      <c r="J238" s="1"/>
      <c r="K238" s="1"/>
    </row>
    <row r="239" spans="10:11" x14ac:dyDescent="0.3">
      <c r="J239" s="1"/>
      <c r="K239" s="1"/>
    </row>
    <row r="240" spans="10:11" x14ac:dyDescent="0.3">
      <c r="J240" s="1"/>
      <c r="K240" s="1"/>
    </row>
    <row r="241" spans="10:11" x14ac:dyDescent="0.3">
      <c r="J241" s="1"/>
      <c r="K241" s="1"/>
    </row>
    <row r="242" spans="10:11" x14ac:dyDescent="0.3">
      <c r="J242" s="1"/>
      <c r="K242" s="1"/>
    </row>
    <row r="243" spans="10:11" x14ac:dyDescent="0.3">
      <c r="J243" s="1"/>
      <c r="K243" s="1"/>
    </row>
    <row r="244" spans="10:11" x14ac:dyDescent="0.3">
      <c r="J244" s="1"/>
      <c r="K244" s="1"/>
    </row>
    <row r="245" spans="10:11" x14ac:dyDescent="0.3">
      <c r="J245" s="1"/>
      <c r="K245" s="1"/>
    </row>
    <row r="246" spans="10:11" x14ac:dyDescent="0.3">
      <c r="J246" s="1"/>
      <c r="K246" s="1"/>
    </row>
    <row r="247" spans="10:11" x14ac:dyDescent="0.3">
      <c r="J247" s="1"/>
      <c r="K247" s="1"/>
    </row>
    <row r="248" spans="10:11" x14ac:dyDescent="0.3">
      <c r="J248" s="1"/>
      <c r="K248" s="1"/>
    </row>
    <row r="249" spans="10:11" x14ac:dyDescent="0.3">
      <c r="J249" s="1"/>
      <c r="K249" s="1"/>
    </row>
    <row r="250" spans="10:11" x14ac:dyDescent="0.3">
      <c r="J250" s="1"/>
      <c r="K250" s="1"/>
    </row>
  </sheetData>
  <mergeCells count="2">
    <mergeCell ref="A1:B1"/>
    <mergeCell ref="C1:K1"/>
  </mergeCells>
  <conditionalFormatting sqref="K3:K23">
    <cfRule type="containsText" dxfId="1" priority="3" operator="containsText" text="FALSE">
      <formula>NOT(ISERROR(SEARCH("FALSE",K3)))</formula>
    </cfRule>
    <cfRule type="containsText" dxfId="0" priority="4" operator="containsText" text="TRUE">
      <formula>NOT(ISERROR(SEARCH("TRUE",K3)))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Asper, Garrett</cp:lastModifiedBy>
  <dcterms:created xsi:type="dcterms:W3CDTF">2024-08-17T15:33:50Z</dcterms:created>
  <dcterms:modified xsi:type="dcterms:W3CDTF">2025-09-06T16:31:59Z</dcterms:modified>
</cp:coreProperties>
</file>